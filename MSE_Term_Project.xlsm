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meerk\Downloads\"/>
    </mc:Choice>
  </mc:AlternateContent>
  <xr:revisionPtr revIDLastSave="0" documentId="8_{D5028739-932A-434A-8D5D-7C1C304EF7F9}" xr6:coauthVersionLast="47" xr6:coauthVersionMax="47" xr10:uidLastSave="{00000000-0000-0000-0000-000000000000}"/>
  <bookViews>
    <workbookView xWindow="-98" yWindow="-98" windowWidth="21795" windowHeight="13695" xr2:uid="{544E4681-173E-494E-8393-01870AE6809A}"/>
  </bookViews>
  <sheets>
    <sheet name="Home" sheetId="21" r:id="rId1"/>
    <sheet name="Task Tracking Sheet" sheetId="10" r:id="rId2"/>
    <sheet name="Quotes List" sheetId="14" state="hidden" r:id="rId3"/>
    <sheet name="Personal Profile" sheetId="11" r:id="rId4"/>
    <sheet name="Calendar Breakdown" sheetId="20" r:id="rId5"/>
    <sheet name="Data Processing" sheetId="13" r:id="rId6"/>
    <sheet name="Gantt Chart" sheetId="18" r:id="rId7"/>
    <sheet name="Graphical Output" sheetId="19" r:id="rId8"/>
  </sheets>
  <definedNames>
    <definedName name="_xleta.NA" hidden="1" xlm="1">#NAME?</definedName>
    <definedName name="_xleta.TODAY" hidden="1" xlm="1">#NAME?</definedName>
    <definedName name="Calendar10Month">#REF!</definedName>
    <definedName name="Calendar10MonthOption">MATCH(Calendar10Month,Months,0)</definedName>
    <definedName name="Calendar10Year">#REF!</definedName>
    <definedName name="Calendar11Month">#REF!</definedName>
    <definedName name="Calendar11MonthOption">MATCH(Calendar11Month,Months,0)</definedName>
    <definedName name="Calendar11Year">#REF!</definedName>
    <definedName name="Calendar12Month">#REF!</definedName>
    <definedName name="Calendar12MonthOption">MATCH(Calendar12Month,Months,0)</definedName>
    <definedName name="Calendar12Year">#REF!</definedName>
    <definedName name="Calendar1Month">#REF!</definedName>
    <definedName name="Calendar1MonthOption">MATCH(Calendar1Month,Months,0)</definedName>
    <definedName name="Calendar1Year">#REF!</definedName>
    <definedName name="Calendar2Month">#REF!</definedName>
    <definedName name="Calendar2MonthOption">MATCH(Calendar2Month,Months,0)</definedName>
    <definedName name="Calendar2Year">#REF!</definedName>
    <definedName name="Calendar3Month">#REF!</definedName>
    <definedName name="Calendar3MonthOption">MATCH(Calendar3Month,Months,0)</definedName>
    <definedName name="Calendar3Year">#REF!</definedName>
    <definedName name="Calendar4Month">#REF!</definedName>
    <definedName name="Calendar4MonthOption">MATCH(Calendar4Month,Months,0)</definedName>
    <definedName name="Calendar4Year">#REF!</definedName>
    <definedName name="Calendar5Month">#REF!</definedName>
    <definedName name="Calendar5MonthOption">MATCH(Calendar5Month,Months,0)</definedName>
    <definedName name="Calendar5Year">#REF!</definedName>
    <definedName name="Calendar6Month">#REF!</definedName>
    <definedName name="Calendar6MonthOption">MATCH(Calendar6Month,Months,0)</definedName>
    <definedName name="Calendar6Year">#REF!</definedName>
    <definedName name="Calendar7Month">#REF!</definedName>
    <definedName name="Calendar7MonthOption">MATCH(Calendar7Month,Months,0)</definedName>
    <definedName name="Calendar7Year">#REF!</definedName>
    <definedName name="Calendar8Month">#REF!</definedName>
    <definedName name="Calendar8MonthOption">MATCH(Calendar8Month,Months,0)</definedName>
    <definedName name="Calendar8Year">#REF!</definedName>
    <definedName name="Calendar9Month">#REF!</definedName>
    <definedName name="Calendar9MonthOption">MATCH(Calendar9Month,Months,0)</definedName>
    <definedName name="Calendar9Year">#REF!</definedName>
    <definedName name="ColumnTitleRegion1..H12.1">#REF!</definedName>
    <definedName name="ColumnTitleRegion10..H54.1">#REF!</definedName>
    <definedName name="ColumnTitleRegion11..C56.1">#REF!</definedName>
    <definedName name="ColumnTitleRegion12..D56.1">#REF!</definedName>
    <definedName name="ColumnTitleRegion13..H68.1">#REF!</definedName>
    <definedName name="ColumnTitleRegion14..C70.1">#REF!</definedName>
    <definedName name="ColumnTitleRegion15..D70.1">#REF!</definedName>
    <definedName name="ColumnTitleRegion16..H82.1">#REF!</definedName>
    <definedName name="ColumnTitleRegion17..C84.1">#REF!</definedName>
    <definedName name="ColumnTitleRegion18..D84.1">#REF!</definedName>
    <definedName name="ColumnTitleRegion19..H96.1">#REF!</definedName>
    <definedName name="ColumnTitleRegion2..C14.1">#REF!</definedName>
    <definedName name="ColumnTitleRegion20..C98.1">#REF!</definedName>
    <definedName name="ColumnTitleRegion21..D98.1">#REF!</definedName>
    <definedName name="ColumnTitleRegion22..H110.1">#REF!</definedName>
    <definedName name="ColumnTitleRegion23..C112.1">#REF!</definedName>
    <definedName name="ColumnTitleRegion24..D112.1">#REF!</definedName>
    <definedName name="ColumnTitleRegion25..H124.1">#REF!</definedName>
    <definedName name="ColumnTitleRegion26..C126.1">#REF!</definedName>
    <definedName name="ColumnTitleRegion27..D126.1">#REF!</definedName>
    <definedName name="ColumnTitleRegion28..H138.1">#REF!</definedName>
    <definedName name="ColumnTitleRegion29..C140.1">#REF!</definedName>
    <definedName name="ColumnTitleRegion3..D14.1">#REF!</definedName>
    <definedName name="ColumnTitleRegion30..D140.1">#REF!</definedName>
    <definedName name="ColumnTitleRegion31..H152.1">#REF!</definedName>
    <definedName name="ColumnTitleRegion32..C154.1">#REF!</definedName>
    <definedName name="ColumnTitleRegion33..D154.1">#REF!</definedName>
    <definedName name="ColumnTitleRegion34..H166.1">#REF!</definedName>
    <definedName name="ColumnTitleRegion35..C168.1">#REF!</definedName>
    <definedName name="ColumnTitleRegion36..D168.1">#REF!</definedName>
    <definedName name="ColumnTitleRegion4..H26.1">#REF!</definedName>
    <definedName name="ColumnTitleRegion5..C28.1">#REF!</definedName>
    <definedName name="ColumnTitleRegion6..D28.1">#REF!</definedName>
    <definedName name="ColumnTitleRegion7..H40.1">#REF!</definedName>
    <definedName name="ColumnTitleRegion8..C42.1">#REF!</definedName>
    <definedName name="ColumnTitleRegion9..D42.1">#REF!</definedName>
    <definedName name="Days">{0,1,2,3,4,5,6}</definedName>
    <definedName name="Months">{"January","February","March","April","May","June","July","August","September","October","November","December"}</definedName>
    <definedName name="Slicer_Due_Date">#N/A</definedName>
    <definedName name="Slicer_Priority_Level">#N/A</definedName>
    <definedName name="Slicer_Progress">#N/A</definedName>
    <definedName name="TimeList">#REF!</definedName>
    <definedName name="TimeSpendingList">#REF!</definedName>
    <definedName name="WeekdayOption">MATCH(WeekStart,Weekdays,0)+10</definedName>
    <definedName name="Weekdays">{"Monday","Tuesday","Wednesday","Thursday","Friday","Saturday","Sunday"}</definedName>
    <definedName name="WeekStart">#REF!</definedName>
    <definedName name="WeekStartValue">IF(WeekStart="Monday",2,1)</definedName>
  </definedNames>
  <calcPr calcId="191028"/>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8" l="1"/>
  <c r="Z6" i="18"/>
  <c r="Y6" i="18"/>
  <c r="X6" i="18"/>
  <c r="W6" i="18"/>
  <c r="V6" i="18"/>
  <c r="U6" i="18"/>
  <c r="T6" i="18"/>
  <c r="S6" i="18"/>
  <c r="R6" i="18"/>
  <c r="Q6" i="18"/>
  <c r="P6" i="18"/>
  <c r="O6" i="18"/>
  <c r="N6" i="18"/>
  <c r="M6" i="18"/>
  <c r="L6" i="18"/>
  <c r="K6" i="18"/>
  <c r="J6" i="18"/>
  <c r="I6" i="18"/>
  <c r="H6" i="18"/>
  <c r="B4" i="20"/>
  <c r="C4" i="20" s="1"/>
  <c r="D4" i="20" s="1"/>
  <c r="E4" i="20" s="1"/>
  <c r="F4" i="20" s="1"/>
  <c r="G4" i="20" s="1"/>
  <c r="H4" i="20" s="1"/>
  <c r="H5" i="20" s="1"/>
  <c r="B2" i="20"/>
  <c r="C3" i="18"/>
  <c r="B1" i="13"/>
  <c r="H7" i="20" a="1"/>
  <c r="B5" i="20" l="1"/>
  <c r="H7" i="20"/>
  <c r="G5" i="20"/>
  <c r="F5" i="20"/>
  <c r="E5" i="20"/>
  <c r="E7" i="20" s="1" a="1"/>
  <c r="D5" i="20"/>
  <c r="D7" i="20" s="1" a="1"/>
  <c r="C5" i="20"/>
  <c r="E6" i="20" a="1"/>
  <c r="D6" i="20" a="1"/>
  <c r="B7" i="20" a="1"/>
  <c r="C8" i="18" a="1"/>
  <c r="C50" i="18" a="1"/>
  <c r="D63" i="18" a="1"/>
  <c r="B78" i="18" a="1"/>
  <c r="B29" i="18" a="1"/>
  <c r="B19" i="18" a="1"/>
  <c r="C31" i="18" a="1"/>
  <c r="B45" i="18" a="1"/>
  <c r="B43" i="18" a="1"/>
  <c r="D11" i="18" a="1"/>
  <c r="B9" i="18" a="1"/>
  <c r="B26" i="18" a="1"/>
  <c r="B23" i="18" a="1"/>
  <c r="C72" i="18" a="1"/>
  <c r="B22" i="18" a="1"/>
  <c r="D60" i="18" a="1"/>
  <c r="B14" i="18" a="1"/>
  <c r="C92" i="18" a="1"/>
  <c r="B41" i="18" a="1"/>
  <c r="C97" i="18" a="1"/>
  <c r="B32" i="18" a="1"/>
  <c r="D23" i="18" a="1"/>
  <c r="D20" i="18" a="1"/>
  <c r="C18" i="18" a="1"/>
  <c r="C17" i="18" a="1"/>
  <c r="D84" i="18" a="1"/>
  <c r="B68" i="18" a="1"/>
  <c r="B71" i="18" a="1"/>
  <c r="C11" i="18" a="1"/>
  <c r="C36" i="18" a="1"/>
  <c r="D55" i="18" a="1"/>
  <c r="B83" i="18" a="1"/>
  <c r="C34" i="18" a="1"/>
  <c r="D42" i="18" a="1"/>
  <c r="C22" i="18" a="1"/>
  <c r="D9" i="18" a="1"/>
  <c r="D17" i="18" a="1"/>
  <c r="C70" i="18" a="1"/>
  <c r="C43" i="18" a="1"/>
  <c r="B46" i="18" a="1"/>
  <c r="C7" i="20" a="1"/>
  <c r="B20" i="18" a="1"/>
  <c r="D12" i="18" a="1"/>
  <c r="D74" i="18" a="1"/>
  <c r="C100" i="18" a="1"/>
  <c r="D92" i="18" a="1"/>
  <c r="B36" i="18" a="1"/>
  <c r="D27" i="18" a="1"/>
  <c r="B38" i="18" a="1"/>
  <c r="D15" i="18" a="1"/>
  <c r="B81" i="18" a="1"/>
  <c r="D96" i="18" a="1"/>
  <c r="D76" i="18" a="1"/>
  <c r="C30" i="18" a="1"/>
  <c r="B21" i="18" a="1"/>
  <c r="B10" i="18" a="1"/>
  <c r="B87" i="18" a="1"/>
  <c r="D91" i="18" a="1"/>
  <c r="D50" i="18" a="1"/>
  <c r="B49" i="18" a="1"/>
  <c r="D85" i="18" a="1"/>
  <c r="C78" i="18" a="1"/>
  <c r="H6" i="20" a="1"/>
  <c r="C21" i="18" a="1"/>
  <c r="D57" i="18" a="1"/>
  <c r="D39" i="18" a="1"/>
  <c r="D54" i="18" a="1"/>
  <c r="D89" i="18" a="1"/>
  <c r="C58" i="18" a="1"/>
  <c r="D93" i="18" a="1"/>
  <c r="D68" i="18" a="1"/>
  <c r="B64" i="18" a="1"/>
  <c r="D29" i="18" a="1"/>
  <c r="C40" i="18" a="1"/>
  <c r="D43" i="18" a="1"/>
  <c r="D70" i="18" a="1"/>
  <c r="C27" i="18" a="1"/>
  <c r="C98" i="18" a="1"/>
  <c r="B37" i="18" a="1"/>
  <c r="C76" i="18" a="1"/>
  <c r="D66" i="18" a="1"/>
  <c r="D58" i="18" a="1"/>
  <c r="C84" i="18" a="1"/>
  <c r="B56" i="18" a="1"/>
  <c r="B96" i="18" a="1"/>
  <c r="B91" i="18" a="1"/>
  <c r="C63" i="18" a="1"/>
  <c r="B63" i="18" a="1"/>
  <c r="C49" i="18" a="1"/>
  <c r="D8" i="18" a="1"/>
  <c r="B86" i="18" a="1"/>
  <c r="B57" i="18" a="1"/>
  <c r="B60" i="18" a="1"/>
  <c r="C85" i="18" a="1"/>
  <c r="B42" i="18" a="1"/>
  <c r="C9" i="18" a="1"/>
  <c r="B25" i="18" a="1"/>
  <c r="B58" i="18" a="1"/>
  <c r="D25" i="18" a="1"/>
  <c r="B94" i="18" a="1"/>
  <c r="B66" i="18" a="1"/>
  <c r="D88" i="18" a="1"/>
  <c r="B88" i="18" a="1"/>
  <c r="C68" i="18" a="1"/>
  <c r="D24" i="18" a="1"/>
  <c r="C16" i="18" a="1"/>
  <c r="C81" i="18" a="1"/>
  <c r="B84" i="18" a="1"/>
  <c r="C88" i="18" a="1"/>
  <c r="C53" i="18" a="1"/>
  <c r="F7" i="20" a="1"/>
  <c r="C52" i="18" a="1"/>
  <c r="B89" i="18" a="1"/>
  <c r="D90" i="18" a="1"/>
  <c r="C45" i="18" a="1"/>
  <c r="C54" i="18" a="1"/>
  <c r="B6" i="20" a="1"/>
  <c r="D98" i="18" a="1"/>
  <c r="D34" i="18" a="1"/>
  <c r="D48" i="18" a="1"/>
  <c r="C86" i="18" a="1"/>
  <c r="B44" i="18" a="1"/>
  <c r="B18" i="18" a="1"/>
  <c r="C73" i="18" a="1"/>
  <c r="D31" i="18" a="1"/>
  <c r="B12" i="18" a="1"/>
  <c r="D95" i="18" a="1"/>
  <c r="D56" i="18" a="1"/>
  <c r="C95" i="18" a="1"/>
  <c r="B85" i="18" a="1"/>
  <c r="C55" i="18" a="1"/>
  <c r="D71" i="18" a="1"/>
  <c r="C75" i="18" a="1"/>
  <c r="B17" i="18" a="1"/>
  <c r="D64" i="18" a="1"/>
  <c r="B13" i="18" a="1"/>
  <c r="B30" i="18" a="1"/>
  <c r="C47" i="18" a="1"/>
  <c r="C93" i="18" a="1"/>
  <c r="B69" i="18" a="1"/>
  <c r="C12" i="18" a="1"/>
  <c r="C69" i="18" a="1"/>
  <c r="B100" i="18" a="1"/>
  <c r="D19" i="18" a="1"/>
  <c r="B61" i="18" a="1"/>
  <c r="C96" i="18" a="1"/>
  <c r="D10" i="18" a="1"/>
  <c r="C80" i="18" a="1"/>
  <c r="D80" i="18" a="1"/>
  <c r="B76" i="18" a="1"/>
  <c r="B82" i="18" a="1"/>
  <c r="B93" i="18" a="1"/>
  <c r="B80" i="18" a="1"/>
  <c r="B40" i="18" a="1"/>
  <c r="C37" i="18" a="1"/>
  <c r="D49" i="18" a="1"/>
  <c r="C15" i="18" a="1"/>
  <c r="C33" i="18" a="1"/>
  <c r="C62" i="18" a="1"/>
  <c r="C90" i="18" a="1"/>
  <c r="C44" i="18" a="1"/>
  <c r="B15" i="18" a="1"/>
  <c r="C59" i="18" a="1"/>
  <c r="B73" i="18" a="1"/>
  <c r="B70" i="18" a="1"/>
  <c r="D51" i="18" a="1"/>
  <c r="C67" i="18" a="1"/>
  <c r="C89" i="18" a="1"/>
  <c r="D14" i="18" a="1"/>
  <c r="C29" i="18" a="1"/>
  <c r="B53" i="18" a="1"/>
  <c r="B74" i="18" a="1"/>
  <c r="D21" i="18" a="1"/>
  <c r="B95" i="18" a="1"/>
  <c r="G6" i="20" a="1"/>
  <c r="B79" i="18" a="1"/>
  <c r="B75" i="18" a="1"/>
  <c r="C60" i="18" a="1"/>
  <c r="C71" i="18" a="1"/>
  <c r="D94" i="18" a="1"/>
  <c r="C66" i="18" a="1"/>
  <c r="D73" i="18" a="1"/>
  <c r="B62" i="18" a="1"/>
  <c r="B72" i="18" a="1"/>
  <c r="C83" i="18" a="1"/>
  <c r="B33" i="18" a="1"/>
  <c r="B54" i="18" a="1"/>
  <c r="B16" i="18" a="1"/>
  <c r="D61" i="18" a="1"/>
  <c r="D35" i="18" a="1"/>
  <c r="C14" i="18" a="1"/>
  <c r="B67" i="18" a="1"/>
  <c r="D78" i="18" a="1"/>
  <c r="D44" i="18" a="1"/>
  <c r="D79" i="18" a="1"/>
  <c r="D13" i="18" a="1"/>
  <c r="B11" i="18" a="1"/>
  <c r="D28" i="18" a="1"/>
  <c r="D69" i="18" a="1"/>
  <c r="C7" i="18" a="1"/>
  <c r="C13" i="18" a="1"/>
  <c r="C51" i="18" a="1"/>
  <c r="D41" i="18" a="1"/>
  <c r="B65" i="18" a="1"/>
  <c r="D81" i="18" a="1"/>
  <c r="B28" i="18" a="1"/>
  <c r="D22" i="18" a="1"/>
  <c r="D18" i="18" a="1"/>
  <c r="D53" i="18" a="1"/>
  <c r="D30" i="18" a="1"/>
  <c r="D16" i="18" a="1"/>
  <c r="C10" i="18" a="1"/>
  <c r="C64" i="18" a="1"/>
  <c r="B99" i="18" a="1"/>
  <c r="D32" i="18" a="1"/>
  <c r="C6" i="20" a="1"/>
  <c r="F6" i="20" a="1"/>
  <c r="B8" i="18" a="1"/>
  <c r="D77" i="18" a="1"/>
  <c r="B35" i="18" a="1"/>
  <c r="G7" i="20" a="1"/>
  <c r="C20" i="18" a="1"/>
  <c r="C39" i="18" a="1"/>
  <c r="D65" i="18" a="1"/>
  <c r="C35" i="18" a="1"/>
  <c r="C26" i="18" a="1"/>
  <c r="D36" i="18" a="1"/>
  <c r="B34" i="18" a="1"/>
  <c r="B24" i="18" a="1"/>
  <c r="B47" i="18" a="1"/>
  <c r="B97" i="18" a="1"/>
  <c r="C19" i="18" a="1"/>
  <c r="D38" i="18" a="1"/>
  <c r="D26" i="18" a="1"/>
  <c r="C32" i="18" a="1"/>
  <c r="D62" i="18" a="1"/>
  <c r="D67" i="18" a="1"/>
  <c r="C87" i="18" a="1"/>
  <c r="C79" i="18" a="1"/>
  <c r="C61" i="18" a="1"/>
  <c r="D33" i="18" a="1"/>
  <c r="C74" i="18" a="1"/>
  <c r="D52" i="18" a="1"/>
  <c r="B98" i="18" a="1"/>
  <c r="C56" i="18" a="1"/>
  <c r="B39" i="18" a="1"/>
  <c r="B55" i="18" a="1"/>
  <c r="B90" i="18" a="1"/>
  <c r="D59" i="18" a="1"/>
  <c r="C94" i="18" a="1"/>
  <c r="C38" i="18" a="1"/>
  <c r="C82" i="18" a="1"/>
  <c r="C24" i="18" a="1"/>
  <c r="C91" i="18" a="1"/>
  <c r="C77" i="18" a="1"/>
  <c r="D97" i="18" a="1"/>
  <c r="D87" i="18" a="1"/>
  <c r="C28" i="18" a="1"/>
  <c r="B48" i="18" a="1"/>
  <c r="B50" i="18" a="1"/>
  <c r="C99" i="18" a="1"/>
  <c r="D40" i="18" a="1"/>
  <c r="B92" i="18" a="1"/>
  <c r="C46" i="18" a="1"/>
  <c r="D99" i="18" a="1"/>
  <c r="B31" i="18" a="1"/>
  <c r="C57" i="18" a="1"/>
  <c r="D46" i="18" a="1"/>
  <c r="D86" i="18" a="1"/>
  <c r="D47" i="18" a="1"/>
  <c r="D82" i="18" a="1"/>
  <c r="C65" i="18" a="1"/>
  <c r="D75" i="18" a="1"/>
  <c r="B51" i="18" a="1"/>
  <c r="D45" i="18" a="1"/>
  <c r="B27" i="18" a="1"/>
  <c r="B59" i="18" a="1"/>
  <c r="D7" i="18" a="1"/>
  <c r="B77" i="18" a="1"/>
  <c r="B52" i="18" a="1"/>
  <c r="C25" i="18" a="1"/>
  <c r="D37" i="18" a="1"/>
  <c r="C48" i="18" a="1"/>
  <c r="D100" i="18" a="1"/>
  <c r="B7" i="18" a="1"/>
  <c r="D72" i="18" a="1"/>
  <c r="C23" i="18" a="1"/>
  <c r="D83" i="18" a="1"/>
  <c r="C41" i="18" a="1"/>
  <c r="C42" i="18" a="1"/>
  <c r="F7" i="20" l="1"/>
  <c r="G7" i="20"/>
  <c r="F6" i="20"/>
  <c r="G6" i="20"/>
  <c r="B6" i="20"/>
  <c r="B99" i="18"/>
  <c r="C9" i="18"/>
  <c r="B29" i="18"/>
  <c r="C26" i="18"/>
  <c r="D91" i="18"/>
  <c r="B39" i="18"/>
  <c r="D43" i="18"/>
  <c r="D97" i="18"/>
  <c r="C90" i="18"/>
  <c r="B96" i="18"/>
  <c r="B28" i="18"/>
  <c r="B33" i="18"/>
  <c r="D35" i="18"/>
  <c r="B37" i="18"/>
  <c r="B23" i="18"/>
  <c r="C48" i="18"/>
  <c r="C89" i="18"/>
  <c r="C73" i="18"/>
  <c r="C25" i="18"/>
  <c r="C95" i="18"/>
  <c r="B21" i="18"/>
  <c r="C74" i="18"/>
  <c r="C6" i="20"/>
  <c r="B77" i="18"/>
  <c r="D50" i="18"/>
  <c r="D93" i="18"/>
  <c r="D45" i="18"/>
  <c r="B79" i="18"/>
  <c r="B56" i="18"/>
  <c r="D71" i="18"/>
  <c r="D12" i="18"/>
  <c r="B26" i="18"/>
  <c r="C10" i="18"/>
  <c r="B81" i="18"/>
  <c r="C12" i="18"/>
  <c r="C87" i="18"/>
  <c r="C37" i="18"/>
  <c r="C70" i="18"/>
  <c r="D60" i="18"/>
  <c r="C45" i="18"/>
  <c r="B22" i="18"/>
  <c r="C31" i="18"/>
  <c r="B31" i="18"/>
  <c r="D53" i="18"/>
  <c r="B94" i="18"/>
  <c r="C41" i="18"/>
  <c r="C52" i="18"/>
  <c r="D80" i="18"/>
  <c r="B17" i="18"/>
  <c r="C15" i="18"/>
  <c r="B50" i="18"/>
  <c r="C68" i="18"/>
  <c r="C42" i="18"/>
  <c r="C32" i="18"/>
  <c r="D95" i="18"/>
  <c r="B63" i="18"/>
  <c r="B80" i="18"/>
  <c r="C13" i="18"/>
  <c r="C24" i="18"/>
  <c r="B57" i="18"/>
  <c r="D17" i="18"/>
  <c r="B97" i="18"/>
  <c r="D19" i="18"/>
  <c r="C7" i="20"/>
  <c r="D66" i="18"/>
  <c r="B27" i="18"/>
  <c r="D21" i="18"/>
  <c r="C18" i="18"/>
  <c r="C62" i="18"/>
  <c r="C97" i="18"/>
  <c r="D10" i="18"/>
  <c r="B91" i="18"/>
  <c r="C35" i="18"/>
  <c r="D82" i="18"/>
  <c r="C59" i="18"/>
  <c r="D34" i="18"/>
  <c r="B41" i="18"/>
  <c r="B65" i="18"/>
  <c r="E7" i="20"/>
  <c r="B98" i="18"/>
  <c r="C27" i="18"/>
  <c r="B13" i="18"/>
  <c r="C16" i="18"/>
  <c r="D57" i="18"/>
  <c r="B7" i="20"/>
  <c r="D58" i="18"/>
  <c r="C83" i="18"/>
  <c r="B8" i="18"/>
  <c r="D28" i="18"/>
  <c r="B85" i="18"/>
  <c r="C85" i="18"/>
  <c r="D92" i="18"/>
  <c r="C43" i="18"/>
  <c r="D13" i="18"/>
  <c r="B87" i="18"/>
  <c r="B24" i="18"/>
  <c r="D29" i="18"/>
  <c r="B75" i="18"/>
  <c r="D84" i="18"/>
  <c r="C50" i="18"/>
  <c r="C66" i="18"/>
  <c r="D86" i="18"/>
  <c r="D75" i="18"/>
  <c r="D41" i="18"/>
  <c r="B40" i="18"/>
  <c r="B95" i="18"/>
  <c r="C86" i="18"/>
  <c r="D72" i="18"/>
  <c r="C72" i="18"/>
  <c r="C65" i="18"/>
  <c r="C30" i="18"/>
  <c r="D59" i="18"/>
  <c r="C94" i="18"/>
  <c r="B73" i="18"/>
  <c r="D54" i="18"/>
  <c r="B76" i="18"/>
  <c r="C93" i="18"/>
  <c r="D85" i="18"/>
  <c r="C64" i="18"/>
  <c r="D18" i="18"/>
  <c r="B16" i="18"/>
  <c r="B84" i="18"/>
  <c r="D27" i="18"/>
  <c r="D44" i="18"/>
  <c r="D11" i="18"/>
  <c r="D32" i="18"/>
  <c r="C46" i="18"/>
  <c r="C40" i="18"/>
  <c r="C34" i="18"/>
  <c r="C22" i="18"/>
  <c r="B78" i="18"/>
  <c r="D47" i="18"/>
  <c r="C80" i="18"/>
  <c r="D100" i="18"/>
  <c r="C47" i="18"/>
  <c r="D26" i="18"/>
  <c r="C54" i="18"/>
  <c r="B71" i="18"/>
  <c r="D38" i="18"/>
  <c r="D64" i="18"/>
  <c r="B83" i="18"/>
  <c r="D6" i="20"/>
  <c r="B9" i="18"/>
  <c r="B89" i="18"/>
  <c r="B11" i="18"/>
  <c r="B18" i="18"/>
  <c r="C7" i="18"/>
  <c r="D73" i="18"/>
  <c r="C55" i="18"/>
  <c r="C51" i="18"/>
  <c r="B46" i="18"/>
  <c r="D56" i="18"/>
  <c r="D67" i="18"/>
  <c r="C58" i="18"/>
  <c r="B61" i="18"/>
  <c r="B12" i="18"/>
  <c r="H6" i="20"/>
  <c r="D7" i="18"/>
  <c r="D78" i="18"/>
  <c r="B47" i="18"/>
  <c r="C53" i="18"/>
  <c r="D15" i="18"/>
  <c r="C14" i="18"/>
  <c r="B53" i="18"/>
  <c r="D40" i="18"/>
  <c r="B59" i="18"/>
  <c r="D42" i="18"/>
  <c r="B90" i="18"/>
  <c r="D9" i="18"/>
  <c r="B19" i="18"/>
  <c r="C20" i="18"/>
  <c r="C44" i="18"/>
  <c r="C75" i="18"/>
  <c r="C84" i="18"/>
  <c r="D25" i="18"/>
  <c r="D65" i="18"/>
  <c r="C11" i="18"/>
  <c r="C23" i="18"/>
  <c r="D77" i="18"/>
  <c r="B88" i="18"/>
  <c r="C71" i="18"/>
  <c r="B67" i="18"/>
  <c r="D23" i="18"/>
  <c r="C29" i="18"/>
  <c r="D31" i="18"/>
  <c r="B82" i="18"/>
  <c r="C82" i="18"/>
  <c r="B86" i="18"/>
  <c r="D88" i="18"/>
  <c r="B100" i="18"/>
  <c r="D61" i="18"/>
  <c r="B72" i="18"/>
  <c r="D68" i="18"/>
  <c r="D7" i="20"/>
  <c r="B74" i="18"/>
  <c r="D20" i="18"/>
  <c r="D52" i="18"/>
  <c r="B30" i="18"/>
  <c r="C76" i="18"/>
  <c r="D14" i="18"/>
  <c r="D96" i="18"/>
  <c r="D36" i="18"/>
  <c r="B15" i="18"/>
  <c r="D98" i="18"/>
  <c r="D70" i="18"/>
  <c r="C92" i="18"/>
  <c r="C63" i="18"/>
  <c r="D87" i="18"/>
  <c r="B45" i="18"/>
  <c r="B54" i="18"/>
  <c r="D24" i="18"/>
  <c r="C21" i="18"/>
  <c r="D51" i="18"/>
  <c r="B62" i="18"/>
  <c r="B49" i="18"/>
  <c r="D74" i="18"/>
  <c r="D22" i="18"/>
  <c r="B35" i="18"/>
  <c r="B60" i="18"/>
  <c r="C100" i="18"/>
  <c r="C28" i="18"/>
  <c r="C33" i="18"/>
  <c r="B92" i="18"/>
  <c r="E6" i="20"/>
  <c r="D37" i="18"/>
  <c r="C91" i="18"/>
  <c r="C17" i="18"/>
  <c r="C8" i="18"/>
  <c r="C56" i="18"/>
  <c r="B20" i="18"/>
  <c r="C60" i="18"/>
  <c r="B64" i="18"/>
  <c r="D79" i="18"/>
  <c r="C79" i="18"/>
  <c r="D48" i="18"/>
  <c r="D81" i="18"/>
  <c r="B14" i="18"/>
  <c r="B66" i="18"/>
  <c r="B55" i="18"/>
  <c r="D76" i="18"/>
  <c r="B34" i="18"/>
  <c r="D30" i="18"/>
  <c r="D39" i="18"/>
  <c r="D69" i="18"/>
  <c r="D46" i="18"/>
  <c r="D94" i="18"/>
  <c r="C67" i="18"/>
  <c r="B43" i="18"/>
  <c r="C57" i="18"/>
  <c r="C81" i="18"/>
  <c r="B36" i="18"/>
  <c r="B51" i="18"/>
  <c r="B58" i="18"/>
  <c r="D33" i="18"/>
  <c r="D62" i="18"/>
  <c r="D83" i="18"/>
  <c r="C99" i="18"/>
  <c r="B42" i="18"/>
  <c r="D63" i="18"/>
  <c r="B69" i="18"/>
  <c r="C49" i="18"/>
  <c r="B10" i="18"/>
  <c r="C98" i="18"/>
  <c r="B93" i="18"/>
  <c r="C77" i="18"/>
  <c r="B68" i="18"/>
  <c r="D49" i="18"/>
  <c r="D99" i="18"/>
  <c r="C78" i="18"/>
  <c r="D90" i="18"/>
  <c r="D55" i="18"/>
  <c r="C96" i="18"/>
  <c r="C61" i="18"/>
  <c r="B44" i="18"/>
  <c r="B52" i="18"/>
  <c r="B48" i="18"/>
  <c r="B70" i="18"/>
  <c r="B7" i="18"/>
  <c r="B32" i="18"/>
  <c r="C69" i="18"/>
  <c r="D16" i="18"/>
  <c r="D89" i="18"/>
  <c r="C19" i="18"/>
  <c r="C38" i="18"/>
  <c r="B25" i="18"/>
  <c r="C36" i="18"/>
  <c r="D8" i="18"/>
  <c r="C39" i="18"/>
  <c r="C88" i="18"/>
  <c r="B38" i="18"/>
  <c r="E54" i="18" l="1"/>
  <c r="E27" i="18"/>
  <c r="E24" i="18"/>
  <c r="E79" i="18"/>
  <c r="E73" i="18"/>
  <c r="E78" i="18"/>
  <c r="E34" i="18"/>
  <c r="E19" i="18"/>
  <c r="E64" i="18"/>
  <c r="E87" i="18"/>
  <c r="E91" i="18"/>
  <c r="E84" i="18"/>
  <c r="E95" i="18"/>
  <c r="E72" i="18"/>
  <c r="E83" i="18"/>
  <c r="E75" i="18"/>
  <c r="E86" i="18"/>
  <c r="E44" i="18"/>
  <c r="E40" i="18"/>
  <c r="E51" i="18"/>
  <c r="E14" i="18"/>
  <c r="E59" i="18"/>
  <c r="E8" i="18"/>
  <c r="E96" i="18"/>
  <c r="E92" i="18"/>
  <c r="E93" i="18"/>
  <c r="E39" i="18"/>
  <c r="E58" i="18"/>
  <c r="E74" i="18"/>
  <c r="E28" i="18"/>
  <c r="E90" i="18"/>
  <c r="E98" i="18"/>
  <c r="E38" i="18"/>
  <c r="E49" i="18"/>
  <c r="E31" i="18"/>
  <c r="E45" i="18"/>
  <c r="E69" i="18"/>
  <c r="E55" i="18"/>
  <c r="E46" i="18"/>
  <c r="E99" i="18"/>
  <c r="E70" i="18"/>
  <c r="E21" i="18"/>
  <c r="E7" i="18"/>
  <c r="E37" i="18"/>
  <c r="E13" i="18"/>
  <c r="E12" i="18"/>
  <c r="E50" i="18"/>
  <c r="E82" i="18"/>
  <c r="E10" i="18"/>
  <c r="E77" i="18"/>
  <c r="E65" i="18"/>
  <c r="E16" i="18"/>
  <c r="E66" i="18"/>
  <c r="E61" i="18"/>
  <c r="E32" i="18"/>
  <c r="E57" i="18"/>
  <c r="E29" i="18"/>
  <c r="E15" i="18"/>
  <c r="E71" i="18"/>
  <c r="E43" i="18"/>
  <c r="E88" i="18"/>
  <c r="E97" i="18"/>
  <c r="E26" i="18"/>
  <c r="E33" i="18"/>
  <c r="E47" i="18"/>
  <c r="E94" i="18"/>
  <c r="E85" i="18"/>
  <c r="E62" i="18"/>
  <c r="E52" i="18"/>
  <c r="E22" i="18"/>
  <c r="E25" i="18"/>
  <c r="E20" i="18"/>
  <c r="E89" i="18"/>
  <c r="E81" i="18"/>
  <c r="E63" i="18"/>
  <c r="E42" i="18"/>
  <c r="E53" i="18"/>
  <c r="E67" i="18"/>
  <c r="E18" i="18"/>
  <c r="E41" i="18"/>
  <c r="E9" i="18"/>
  <c r="E48" i="18"/>
  <c r="E60" i="18"/>
  <c r="E56" i="18"/>
  <c r="E17" i="18"/>
  <c r="E68" i="18"/>
  <c r="E35" i="18"/>
  <c r="E23" i="18"/>
  <c r="E36" i="18"/>
  <c r="E100" i="18"/>
  <c r="E76" i="18"/>
  <c r="E11" i="18"/>
  <c r="E80" i="18"/>
  <c r="E30"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Samay Kapadia</author>
  </authors>
  <commentList>
    <comment ref="B8" authorId="0" shapeId="0" xr:uid="{8CF7DABD-EE18-4967-A2EC-C49C878997F9}">
      <text>
        <r>
          <rPr>
            <sz val="9"/>
            <color indexed="81"/>
            <rFont val="Tahoma"/>
            <family val="2"/>
          </rPr>
          <t>Tasks for today: Quiz 7 for 3 hrs, Quiz 8 for 1 hrs</t>
        </r>
      </text>
    </comment>
    <comment ref="C8" authorId="0" shapeId="0" xr:uid="{2724E12E-954D-44BB-A93E-5D1D3052E31E}">
      <text>
        <r>
          <rPr>
            <sz val="9"/>
            <color indexed="81"/>
            <rFont val="Tahoma"/>
            <family val="2"/>
          </rPr>
          <t>Tasks for today: Quiz 8 for 1 hrs</t>
        </r>
      </text>
    </comment>
    <comment ref="D8" authorId="0" shapeId="0" xr:uid="{69E28B5D-0777-409F-9BE3-A7943D8677F5}">
      <text>
        <r>
          <rPr>
            <sz val="9"/>
            <color indexed="81"/>
            <rFont val="Tahoma"/>
            <family val="2"/>
          </rPr>
          <t>Tasks for today: Quiz 8 for 1 hrs</t>
        </r>
      </text>
    </comment>
    <comment ref="E8" authorId="0" shapeId="0" xr:uid="{AFB3A2F1-F3C2-4CB1-8029-0B26349076DF}">
      <text>
        <r>
          <rPr>
            <sz val="9"/>
            <color indexed="81"/>
            <rFont val="Tahoma"/>
            <family val="2"/>
          </rPr>
          <t>Tasks for today</t>
        </r>
      </text>
    </comment>
    <comment ref="F8" authorId="0" shapeId="0" xr:uid="{C31AAC6B-5EB4-46A8-9989-D39015593217}">
      <text>
        <r>
          <rPr>
            <sz val="9"/>
            <color indexed="81"/>
            <rFont val="Tahoma"/>
            <family val="2"/>
          </rPr>
          <t>Tasks for today</t>
        </r>
      </text>
    </comment>
    <comment ref="G8" authorId="0" shapeId="0" xr:uid="{E7F05170-D7F8-474D-9F17-F2FDC230763D}">
      <text>
        <r>
          <rPr>
            <sz val="9"/>
            <color indexed="81"/>
            <rFont val="Tahoma"/>
            <family val="2"/>
          </rPr>
          <t>Tasks for today</t>
        </r>
      </text>
    </comment>
    <comment ref="H8" authorId="0" shapeId="0" xr:uid="{EE0B5655-CF3F-43A8-99EF-A24D32B3A1F0}">
      <text>
        <r>
          <rPr>
            <sz val="9"/>
            <color indexed="81"/>
            <rFont val="Tahoma"/>
            <family val="2"/>
          </rPr>
          <t>Tasks for today</t>
        </r>
      </text>
    </comment>
    <comment ref="B9" authorId="0" shapeId="0" xr:uid="{AA8273F3-A9B8-457F-8D33-05B063B372E1}">
      <text>
        <r>
          <rPr>
            <sz val="9"/>
            <color indexed="81"/>
            <rFont val="Tahoma"/>
            <family val="2"/>
          </rPr>
          <t>Tasks for today: Sport 1 hr, Club 2 hrs, Free Time 2 hrs</t>
        </r>
      </text>
    </comment>
    <comment ref="C9" authorId="0" shapeId="0" xr:uid="{CDDB5554-781C-46B4-80AE-199646DCA2B2}">
      <text>
        <r>
          <rPr>
            <sz val="9"/>
            <color indexed="81"/>
            <rFont val="Tahoma"/>
            <family val="2"/>
          </rPr>
          <t>Tasks for today: Sport 1 hr, Club 2 hrs, Free Time 2 hrs</t>
        </r>
      </text>
    </comment>
    <comment ref="D9" authorId="0" shapeId="0" xr:uid="{0D9CBA56-A9A2-48B0-A1A8-9633FC46AE35}">
      <text>
        <r>
          <rPr>
            <sz val="9"/>
            <color indexed="81"/>
            <rFont val="Tahoma"/>
            <family val="2"/>
          </rPr>
          <t>Tasks for today: Sport 1 hr, Club 2 hrs, Free Time 2 hrs</t>
        </r>
      </text>
    </comment>
    <comment ref="E9" authorId="0" shapeId="0" xr:uid="{ECEAAAF1-51D7-4CE3-81D4-49EBB09EF615}">
      <text>
        <r>
          <rPr>
            <sz val="9"/>
            <color indexed="81"/>
            <rFont val="Tahoma"/>
            <family val="2"/>
          </rPr>
          <t>Tasks for today: Sport 1 hr, Club 2 hrs, Free Time 2 hrs</t>
        </r>
      </text>
    </comment>
    <comment ref="F9" authorId="0" shapeId="0" xr:uid="{71FE0734-2B3F-4C48-BF1C-984D307E2B39}">
      <text>
        <r>
          <rPr>
            <sz val="9"/>
            <color indexed="81"/>
            <rFont val="Tahoma"/>
            <family val="2"/>
          </rPr>
          <t>Tasks for today: Sport 1 hr, Club 2 hrs, Free Time 2 hrs</t>
        </r>
      </text>
    </comment>
    <comment ref="G9" authorId="0" shapeId="0" xr:uid="{7336942D-F2B2-44D9-B19C-C043DB9D650E}">
      <text>
        <r>
          <rPr>
            <sz val="9"/>
            <color indexed="81"/>
            <rFont val="Tahoma"/>
            <family val="2"/>
          </rPr>
          <t>Tasks for today: Sport 1 hr, Club 2 hrs, Free Time 2 hrs</t>
        </r>
      </text>
    </comment>
    <comment ref="H9" authorId="0" shapeId="0" xr:uid="{7326E89C-EBFF-43E4-B687-EF941CA52359}">
      <text>
        <r>
          <rPr>
            <sz val="9"/>
            <color indexed="81"/>
            <rFont val="Tahoma"/>
            <family val="2"/>
          </rPr>
          <t>Tasks for today: Sport 1 hr, Club 2 hrs, Free Time 2 hrs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<sst xmlns="http://schemas.openxmlformats.org/spreadsheetml/2006/main" count="202" uniqueCount="174">
  <si>
    <t>Home</t>
  </si>
  <si>
    <t>Click Me For A Motivational Quote</t>
  </si>
  <si>
    <t>Task Tracking Sheet</t>
  </si>
  <si>
    <t>Assignments/Tests/Tasks</t>
  </si>
  <si>
    <t>Name</t>
  </si>
  <si>
    <t>Class</t>
  </si>
  <si>
    <t>Type</t>
  </si>
  <si>
    <t>Start Date</t>
  </si>
  <si>
    <t>End Date</t>
  </si>
  <si>
    <t>Priority Level</t>
  </si>
  <si>
    <t>Progress</t>
  </si>
  <si>
    <t>Projected Hours Required (Study or Work on Task)</t>
  </si>
  <si>
    <t>Equilibruim</t>
  </si>
  <si>
    <t>Chem</t>
  </si>
  <si>
    <t>Assignment</t>
  </si>
  <si>
    <t>Medium</t>
  </si>
  <si>
    <t>Quiz 7</t>
  </si>
  <si>
    <t>MSE 121</t>
  </si>
  <si>
    <t>Test</t>
  </si>
  <si>
    <t>Low</t>
  </si>
  <si>
    <t>Individual</t>
  </si>
  <si>
    <t>MSE 100</t>
  </si>
  <si>
    <t>Project</t>
  </si>
  <si>
    <t>High</t>
  </si>
  <si>
    <t>Quiz 8</t>
  </si>
  <si>
    <t>Python Assignment</t>
  </si>
  <si>
    <t>Math 115</t>
  </si>
  <si>
    <t>Number</t>
  </si>
  <si>
    <t>Quote</t>
  </si>
  <si>
    <t>The only way to do great work is to love what you do. – Steve Jobs</t>
  </si>
  <si>
    <t>Don't watch the clock; do what it does. Keep going. – Sam Levenson</t>
  </si>
  <si>
    <t>Success is not final, failure is not fatal: It is the courage to continue that counts. – Winston Churchill</t>
  </si>
  <si>
    <t>Believe you can and you're halfway there. – Theodore Roosevelt</t>
  </si>
  <si>
    <t>Dream big and dare to fail. – Norman Vaughan</t>
  </si>
  <si>
    <t>Act as if what you do makes a difference. It does. – William James</t>
  </si>
  <si>
    <t>The harder you work for something, the greater you'll feel when you achieve it.</t>
  </si>
  <si>
    <t>Success doesn’t come from what you do occasionally. It comes from what you do consistently.</t>
  </si>
  <si>
    <t>The future belongs to those who believe in the beauty of their dreams. – Eleanor Roosevelt</t>
  </si>
  <si>
    <t>Don't limit your challenges. Challenge your limits.</t>
  </si>
  <si>
    <t>You don’t have to be great to start, but you have to start to be great. – Zig Ziglar</t>
  </si>
  <si>
    <t>Your time is limited, don’t waste it living someone else’s life. – Steve Jobs</t>
  </si>
  <si>
    <t>Do something today that your future self will thank you for.</t>
  </si>
  <si>
    <t>It always seems impossible until it’s done. – Nelson Mandela</t>
  </si>
  <si>
    <t>Believe in yourself and all that you are. Know that there is something inside you that is greater than any obstacle.</t>
  </si>
  <si>
    <t>The only limit to our realization of tomorrow is our doubts of today. – Franklin D. Roosevelt</t>
  </si>
  <si>
    <t>You are never too old to set another goal or to dream a new dream. – C.S. Lewis</t>
  </si>
  <si>
    <t>Start where you are. Use what you have. Do what you can. – Arthur Ashe</t>
  </si>
  <si>
    <t>Don’t wait for the perfect moment. Take the moment and make it perfect.</t>
  </si>
  <si>
    <t>Hardships often prepare ordinary people for an extraordinary destiny. – C.S. Lewis</t>
  </si>
  <si>
    <t>The best way to predict the future is to create it. – Peter Drucker</t>
  </si>
  <si>
    <t>Your only limit is your mind.</t>
  </si>
  <si>
    <t>Success is not how high you have climbed, but how you make a positive difference to the world.</t>
  </si>
  <si>
    <t>What lies behind us and what lies before us are tiny matters compared to what lies within us. – Ralph Waldo Emerson</t>
  </si>
  <si>
    <t>If you can dream it, you can do it. – Walt Disney</t>
  </si>
  <si>
    <t>Small steps in the right direction can turn out to be the biggest step of your life.</t>
  </si>
  <si>
    <t>Don’t be pushed by your problems. Be led by your dreams. – Ralph Waldo Emerson</t>
  </si>
  <si>
    <t>You don’t need to be perfect to inspire others. Let people get inspired by how you deal with your imperfections.</t>
  </si>
  <si>
    <t>Success usually comes to those who are too busy to be looking for it. – Henry David Thoreau</t>
  </si>
  <si>
    <t>Don’t stop when you’re tired. Stop when you’re done.</t>
  </si>
  <si>
    <t>Success is not overnight. It’s when every day you get a little better than the day before. – Dwayne Johnson</t>
  </si>
  <si>
    <t>The only place where success comes before work is in the dictionary. – Vidal Sassoon</t>
  </si>
  <si>
    <t>Great things never came from comfort zones.</t>
  </si>
  <si>
    <t>Stay positive, work hard, make it happen.</t>
  </si>
  <si>
    <t>Don’t be afraid to give up the good to go for the great. – John D. Rockefeller</t>
  </si>
  <si>
    <t>You are stronger than you think.</t>
  </si>
  <si>
    <t>Every day may not be good, but there’s something good in every day.</t>
  </si>
  <si>
    <t>Hustle until you no longer have to introduce yourself.</t>
  </si>
  <si>
    <t>Life is 10% what happens to us and 90% how we react to it. – Charles R. Swindoll</t>
  </si>
  <si>
    <t>The difference between ordinary and extraordinary is that little extra.</t>
  </si>
  <si>
    <t>Failure will never overtake me if my determination to succeed is strong enough. – Og Mandino</t>
  </si>
  <si>
    <t>Don’t wish it were easier; wish you were better. – Jim Rohn</t>
  </si>
  <si>
    <t>When you feel like quitting, think about why you started.</t>
  </si>
  <si>
    <t>It’s not whether you get knocked down, it’s whether you get up. – Vince Lombardi</t>
  </si>
  <si>
    <t>Push yourself, because no one else is going to do it for you.</t>
  </si>
  <si>
    <t>Good things come to those who believe, better things come to those who are patient, and the best things come to those who don’t give up.</t>
  </si>
  <si>
    <t>Success is not the key to happiness. Happiness is the key to success. – Albert Schweitzer</t>
  </si>
  <si>
    <t>Don’t downgrade your dream just to fit your reality. Upgrade your conviction to match your destiny.</t>
  </si>
  <si>
    <t>You didn’t come this far only to come this far.</t>
  </si>
  <si>
    <t>Focus on being productive instead of busy. – Tim Ferriss</t>
  </si>
  <si>
    <t>The only difference between success and failure is the ability to take action. – Alexander Graham Bell</t>
  </si>
  <si>
    <t>Do what you can with all you have, wherever you are. – Theodore Roosevelt</t>
  </si>
  <si>
    <t>Work hard in silence, let your success be your noise.</t>
  </si>
  <si>
    <t>The best revenge is massive success. – Frank Sinatra</t>
  </si>
  <si>
    <t>Opportunities don’t happen. You create them. – Chris Grosser</t>
  </si>
  <si>
    <t>You have to be at your strongest when you’re feeling at your weakest.</t>
  </si>
  <si>
    <t>The struggle you’re in today is developing the strength you need for tomorrow.</t>
  </si>
  <si>
    <t>Don’t be afraid to start over. It’s a chance to build something better.</t>
  </si>
  <si>
    <t>What we fear of doing most is usually what we most need to do. – Ralph Waldo Emerson</t>
  </si>
  <si>
    <t>Every accomplishment starts with the decision to try.</t>
  </si>
  <si>
    <t>The only limits you have are the limits you believe.</t>
  </si>
  <si>
    <t>Believe in your dreams and they may come true. Believe in yourself and they will come true.</t>
  </si>
  <si>
    <t>Wake up with determination. Go to bed with satisfaction.</t>
  </si>
  <si>
    <t>Doubt kills more dreams than failure ever will. – Suzy Kassem</t>
  </si>
  <si>
    <t>When you know what you want, and want it bad enough, you’ll find a way to get it. – Jim Rohn</t>
  </si>
  <si>
    <t>Success is walking from failure to failure with no loss of enthusiasm. – Winston Churchill</t>
  </si>
  <si>
    <t>The biggest risk is not taking any risk. – Mark Zuckerberg</t>
  </si>
  <si>
    <t>If it doesn’t challenge you, it doesn’t change you.</t>
  </si>
  <si>
    <t>The secret of getting ahead is getting started. – Mark Twain</t>
  </si>
  <si>
    <t>Believe in your infinite potential. Your only limitations are those you set upon yourself.</t>
  </si>
  <si>
    <t>Your dreams don’t have an expiration date. Keep going.</t>
  </si>
  <si>
    <t>Motivation is what gets you started. Habit is what keeps you going. – Jim Ryun</t>
  </si>
  <si>
    <t>The difference between who you are and who you want to be is what you do.</t>
  </si>
  <si>
    <t>Your life does not get better by chance, it gets better by change. – Jim Rohn</t>
  </si>
  <si>
    <t>Don’t count the days. Make the days count. – Muhammad Ali</t>
  </si>
  <si>
    <t>You are not a product of your circumstances but a product of your decisions.</t>
  </si>
  <si>
    <t>Pain is temporary. Quitting lasts forever. – Lance Armstrong</t>
  </si>
  <si>
    <t>Keep your eyes on the stars and your feet on the ground. – Theodore Roosevelt</t>
  </si>
  <si>
    <t>No one is to blame for your future situation but yourself.</t>
  </si>
  <si>
    <t>The only thing standing between you and your goal is the story you keep telling yourself.</t>
  </si>
  <si>
    <t>Don’t let yesterday take up too much of today. – Will Rogers</t>
  </si>
  <si>
    <t>Great minds discuss ideas; average minds discuss events; small minds discuss people. – Eleanor Roosevelt</t>
  </si>
  <si>
    <t>The best time to plant a tree was 20 years ago. The second best time is now.</t>
  </si>
  <si>
    <t>When you want to succeed as bad as you want to breathe, then you’ll be successful. – Eric Thomas</t>
  </si>
  <si>
    <t>A year from now you will wish you had started today.</t>
  </si>
  <si>
    <t>It does not matter how slowly you go as long as you do not stop. – Confucius</t>
  </si>
  <si>
    <t>Everything you’ve ever wanted is on the other side of fear. – George Addair</t>
  </si>
  <si>
    <t>Be the change that you wish to see in the world. – Mahatma Gandhi</t>
  </si>
  <si>
    <t>I can’t change the direction of the wind, but I can adjust my sails to always reach my destination. – Jimmy Dean</t>
  </si>
  <si>
    <t>Failure is simply the opportunity to begin again, this time more intelligently. – Henry Ford</t>
  </si>
  <si>
    <t>Knowing is not enough; we must apply. Willing is not enough; we must do. – Johann Wolfgang von Goethe</t>
  </si>
  <si>
    <t>The road to success and the road to failure are almost exactly the same. – Colin R. Davis</t>
  </si>
  <si>
    <t>Personal Profile</t>
  </si>
  <si>
    <t>Program Information</t>
  </si>
  <si>
    <t>Commuting Information</t>
  </si>
  <si>
    <t>Activity Breakdown</t>
  </si>
  <si>
    <t>Time Spent in Class (Hours)</t>
  </si>
  <si>
    <t>Degree Level</t>
  </si>
  <si>
    <t>Current Year</t>
  </si>
  <si>
    <t>Program</t>
  </si>
  <si>
    <t>Commuter</t>
  </si>
  <si>
    <t>Length of Commute</t>
  </si>
  <si>
    <t>Activity Type</t>
  </si>
  <si>
    <t>Average Time Spent Per Day (Hours)</t>
  </si>
  <si>
    <t>Monday</t>
  </si>
  <si>
    <t>Tuesday</t>
  </si>
  <si>
    <t>Wednesday</t>
  </si>
  <si>
    <t>Thursday</t>
  </si>
  <si>
    <t>Friday</t>
  </si>
  <si>
    <t>Undergraduate</t>
  </si>
  <si>
    <t>Arts</t>
  </si>
  <si>
    <t>Yes</t>
  </si>
  <si>
    <t>Sport</t>
  </si>
  <si>
    <t>Low (Unecessary)</t>
  </si>
  <si>
    <t>7+</t>
  </si>
  <si>
    <t>Club</t>
  </si>
  <si>
    <t>Medium (Preffered But Not Necessary)</t>
  </si>
  <si>
    <t>Free Time</t>
  </si>
  <si>
    <t>High (Necessary)</t>
  </si>
  <si>
    <t>Month: December 2024</t>
  </si>
  <si>
    <t>Date:</t>
  </si>
  <si>
    <t>Schedule for next 7 days:</t>
  </si>
  <si>
    <t>Day of week</t>
  </si>
  <si>
    <t>Commute</t>
  </si>
  <si>
    <t>Hours in Class:</t>
  </si>
  <si>
    <t>Tasks for today(if there is a task, its seen a the comment on said cell</t>
  </si>
  <si>
    <t>Activities (done at user's discrcetion)</t>
  </si>
  <si>
    <t xml:space="preserve">Daily Tasks List </t>
  </si>
  <si>
    <t>Task</t>
  </si>
  <si>
    <t>Recommended Study Hours</t>
  </si>
  <si>
    <t>Due Date</t>
  </si>
  <si>
    <t>High Priority</t>
  </si>
  <si>
    <t>Low Priority</t>
  </si>
  <si>
    <t xml:space="preserve">Gantt Chart </t>
  </si>
  <si>
    <t>Today:</t>
  </si>
  <si>
    <t>Dates:</t>
  </si>
  <si>
    <t>Activity</t>
  </si>
  <si>
    <t>Number of Days</t>
  </si>
  <si>
    <t>Graphical Output</t>
  </si>
  <si>
    <t>Sum of Projected Hours Required (Study or Work on Task)</t>
  </si>
  <si>
    <t>Column Labels</t>
  </si>
  <si>
    <t>Row Labels</t>
  </si>
  <si>
    <t>Sum of Recommended Study Hours</t>
  </si>
  <si>
    <t>Grand Total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</si>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</sst>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numFmt numFmtId="165" formatCode="yyyy\-mm\-dd;@"/>
    <numFmt numFmtId="166" formatCode="[$-F800]dddd\,\ mmmm\ dd\,\ yyyy"/>
  </numFmts>
  <fonts count="22" x14ac:knownFonts="1">
    <font>
      <sz val="11"/>
      <color theme="1"/>
      <name val="Calibri"/>
      <family val="2"/>
      <scheme val="minor"/>
    </font>
    <font>
      <sz val="11"/>
      <color theme="1"/>
      <name val="Calibri"/>
      <family val="2"/>
      <scheme val="minor"/>
    </font>
    <font>
      <sz val="11"/>
      <name val="Calibri"/>
      <family val="2"/>
      <scheme val="minor"/>
    </font>
    <font>
      <sz val="11"/>
      <color theme="1"/>
      <name val="Calibri Light"/>
      <family val="2"/>
      <scheme val="major"/>
    </font>
    <font>
      <sz val="16"/>
      <color theme="1"/>
      <name val="Calibri"/>
      <family val="2"/>
      <scheme val="minor"/>
    </font>
    <font>
      <b/>
      <sz val="11"/>
      <color theme="0"/>
      <name val="Calibri Light"/>
      <family val="2"/>
      <scheme val="major"/>
    </font>
    <font>
      <b/>
      <sz val="28"/>
      <color theme="0"/>
      <name val="Calibri Light"/>
      <family val="2"/>
      <scheme val="major"/>
    </font>
    <font>
      <sz val="36"/>
      <color theme="4" tint="-0.24994659260841701"/>
      <name val="Calibri"/>
      <family val="2"/>
      <scheme val="minor"/>
    </font>
    <font>
      <b/>
      <sz val="48"/>
      <color theme="1"/>
      <name val="Franklin Gothic Book"/>
      <family val="2"/>
    </font>
    <font>
      <b/>
      <sz val="14"/>
      <color theme="1"/>
      <name val="Calibri"/>
      <family val="2"/>
      <scheme val="minor"/>
    </font>
    <font>
      <b/>
      <sz val="48"/>
      <color theme="0"/>
      <name val="Franklin Gothic Book"/>
      <family val="2"/>
    </font>
    <font>
      <b/>
      <sz val="11"/>
      <color theme="1"/>
      <name val="Calibri"/>
      <family val="2"/>
      <scheme val="minor"/>
    </font>
    <font>
      <sz val="11"/>
      <color theme="1"/>
      <name val="Franklin Gothic Book"/>
      <family val="2"/>
    </font>
    <font>
      <sz val="18"/>
      <color theme="1"/>
      <name val="Franklin Gothic Book"/>
      <family val="2"/>
    </font>
    <font>
      <b/>
      <sz val="18"/>
      <color theme="1"/>
      <name val="Franklin Gothic Book"/>
      <family val="2"/>
    </font>
    <font>
      <b/>
      <sz val="16"/>
      <color theme="1"/>
      <name val="Franklin Gothic Book"/>
      <family val="2"/>
    </font>
    <font>
      <b/>
      <sz val="15"/>
      <color theme="1"/>
      <name val="Franklin Gothic Book"/>
      <family val="2"/>
    </font>
    <font>
      <sz val="15"/>
      <color theme="1"/>
      <name val="Franklin Gothic Book"/>
      <family val="2"/>
    </font>
    <font>
      <sz val="16"/>
      <color theme="1"/>
      <name val="Franklin Gothic Book"/>
      <family val="2"/>
    </font>
    <font>
      <sz val="11"/>
      <color theme="1"/>
      <name val="Franklin Gothic Book"/>
      <family val="2"/>
    </font>
    <font>
      <b/>
      <sz val="72"/>
      <color theme="0"/>
      <name val="Franklin Gothic Book"/>
      <family val="2"/>
    </font>
    <font>
      <sz val="9"/>
      <color indexed="81"/>
      <name val="Tahoma"/>
      <family val="2"/>
    </font>
  </fonts>
  <fills count="15">
    <fill>
      <patternFill patternType="none"/>
    </fill>
    <fill>
      <patternFill patternType="gray125"/>
    </fill>
    <fill>
      <patternFill patternType="solid">
        <fgColor theme="1"/>
      </patternFill>
    </fill>
    <fill>
      <patternFill patternType="solid">
        <fgColor theme="1"/>
        <bgColor indexed="64"/>
      </patternFill>
    </fill>
    <fill>
      <patternFill patternType="solid">
        <fgColor theme="4" tint="-0.24994659260841701"/>
        <bgColor indexed="64"/>
      </patternFill>
    </fill>
    <fill>
      <patternFill patternType="solid">
        <fgColor rgb="FF4A7F94"/>
        <bgColor indexed="64"/>
      </patternFill>
    </fill>
    <fill>
      <patternFill patternType="solid">
        <fgColor theme="0"/>
        <bgColor indexed="64"/>
      </patternFill>
    </fill>
    <fill>
      <patternFill patternType="solid">
        <fgColor rgb="FFAECBD6"/>
        <bgColor indexed="64"/>
      </patternFill>
    </fill>
    <fill>
      <patternFill patternType="solid">
        <fgColor rgb="FFDBE8ED"/>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BCD4DE"/>
        <bgColor indexed="64"/>
      </patternFill>
    </fill>
    <fill>
      <patternFill patternType="solid">
        <fgColor theme="4" tint="0.79998168889431442"/>
        <bgColor indexed="64"/>
      </patternFill>
    </fill>
    <fill>
      <patternFill patternType="solid">
        <fgColor rgb="FFB4CFDA"/>
        <bgColor indexed="64"/>
      </patternFill>
    </fill>
    <fill>
      <patternFill patternType="solid">
        <fgColor rgb="FF7EADC0"/>
        <bgColor indexed="64"/>
      </patternFill>
    </fill>
  </fills>
  <borders count="21">
    <border>
      <left/>
      <right/>
      <top/>
      <bottom/>
      <diagonal/>
    </border>
    <border>
      <left/>
      <right style="thin">
        <color theme="0" tint="-0.14996795556505021"/>
      </right>
      <top/>
      <bottom/>
      <diagonal/>
    </border>
    <border>
      <left style="thin">
        <color theme="0" tint="-0.14996795556505021"/>
      </left>
      <right/>
      <top style="thin">
        <color theme="0" tint="-0.14993743705557422"/>
      </top>
      <bottom/>
      <diagonal/>
    </border>
    <border>
      <left/>
      <right style="thin">
        <color theme="0" tint="-0.14993743705557422"/>
      </right>
      <top style="thin">
        <color theme="0" tint="-0.14996795556505021"/>
      </top>
      <bottom/>
      <diagonal/>
    </border>
    <border>
      <left/>
      <right style="thick">
        <color theme="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1">
    <xf numFmtId="0" fontId="0" fillId="0" borderId="0"/>
    <xf numFmtId="0" fontId="2" fillId="0" borderId="0" applyFill="0" applyBorder="0" applyProtection="0"/>
    <xf numFmtId="164" fontId="1" fillId="0" borderId="0" applyNumberFormat="0" applyFill="0" applyProtection="0">
      <alignment horizontal="left" vertical="top" wrapText="1" indent="1"/>
    </xf>
    <xf numFmtId="164" fontId="3" fillId="0" borderId="1" applyFill="0" applyProtection="0">
      <alignment horizontal="left" vertical="top" wrapText="1" indent="1"/>
    </xf>
    <xf numFmtId="164" fontId="2" fillId="0" borderId="2" applyNumberFormat="0" applyFill="0" applyProtection="0">
      <alignment horizontal="left" vertical="center" wrapText="1" indent="1"/>
    </xf>
    <xf numFmtId="164" fontId="4" fillId="0" borderId="3" applyFill="0" applyProtection="0">
      <alignment horizontal="left" vertical="center" wrapText="1" indent="1"/>
    </xf>
    <xf numFmtId="0" fontId="5" fillId="2" borderId="4" applyNumberFormat="0" applyProtection="0">
      <alignment horizontal="left" vertical="center" indent="1"/>
    </xf>
    <xf numFmtId="0" fontId="5" fillId="4" borderId="4" applyNumberFormat="0" applyProtection="0">
      <alignment horizontal="left" indent="1"/>
    </xf>
    <xf numFmtId="0" fontId="6" fillId="4" borderId="0" applyNumberFormat="0" applyBorder="0" applyProtection="0">
      <alignment horizontal="center"/>
    </xf>
    <xf numFmtId="0" fontId="7" fillId="0" borderId="0" applyNumberFormat="0" applyFill="0" applyProtection="0">
      <alignment horizontal="left" indent="3"/>
    </xf>
    <xf numFmtId="9" fontId="1" fillId="0" borderId="0" applyFont="0" applyFill="0" applyBorder="0" applyAlignment="0" applyProtection="0"/>
  </cellStyleXfs>
  <cellXfs count="72">
    <xf numFmtId="0" fontId="0" fillId="0" borderId="0" xfId="0"/>
    <xf numFmtId="0" fontId="8" fillId="6" borderId="0" xfId="0" applyFont="1" applyFill="1" applyAlignment="1">
      <alignment vertical="center"/>
    </xf>
    <xf numFmtId="0" fontId="0" fillId="6" borderId="0" xfId="0" applyFill="1"/>
    <xf numFmtId="0" fontId="8" fillId="6" borderId="0" xfId="0" applyFont="1" applyFill="1" applyAlignment="1">
      <alignment horizontal="center" vertical="center"/>
    </xf>
    <xf numFmtId="9" fontId="8" fillId="6" borderId="0" xfId="0" applyNumberFormat="1" applyFont="1" applyFill="1" applyAlignment="1">
      <alignment horizontal="center" vertical="center"/>
    </xf>
    <xf numFmtId="0" fontId="2" fillId="7" borderId="5" xfId="0" applyFont="1" applyFill="1" applyBorder="1"/>
    <xf numFmtId="0" fontId="2" fillId="8" borderId="6" xfId="0" applyFont="1" applyFill="1" applyBorder="1"/>
    <xf numFmtId="165" fontId="2" fillId="8" borderId="6" xfId="0" applyNumberFormat="1" applyFont="1" applyFill="1" applyBorder="1"/>
    <xf numFmtId="9" fontId="2" fillId="8" borderId="6" xfId="10" applyFont="1" applyFill="1" applyBorder="1"/>
    <xf numFmtId="0" fontId="2" fillId="7" borderId="10" xfId="0" applyFont="1" applyFill="1" applyBorder="1"/>
    <xf numFmtId="0" fontId="2" fillId="7" borderId="11" xfId="0" applyFont="1" applyFill="1" applyBorder="1"/>
    <xf numFmtId="0" fontId="2" fillId="7" borderId="12" xfId="0" applyFont="1" applyFill="1" applyBorder="1"/>
    <xf numFmtId="0" fontId="0" fillId="8" borderId="5" xfId="0" applyFill="1" applyBorder="1"/>
    <xf numFmtId="0" fontId="0" fillId="8" borderId="13" xfId="0" applyFill="1" applyBorder="1"/>
    <xf numFmtId="0" fontId="0" fillId="8" borderId="14" xfId="0" applyFill="1" applyBorder="1"/>
    <xf numFmtId="0" fontId="2" fillId="8" borderId="5" xfId="0" applyFont="1" applyFill="1" applyBorder="1"/>
    <xf numFmtId="0" fontId="2" fillId="8" borderId="13" xfId="0" applyFont="1" applyFill="1" applyBorder="1"/>
    <xf numFmtId="0" fontId="2" fillId="8" borderId="14" xfId="0" applyFont="1" applyFill="1" applyBorder="1"/>
    <xf numFmtId="0" fontId="2" fillId="8" borderId="6" xfId="0" applyFont="1" applyFill="1" applyBorder="1" applyAlignment="1">
      <alignment horizontal="right"/>
    </xf>
    <xf numFmtId="9" fontId="2" fillId="8" borderId="6" xfId="0" applyNumberFormat="1" applyFont="1" applyFill="1" applyBorder="1"/>
    <xf numFmtId="0" fontId="11" fillId="0" borderId="0" xfId="0" applyFont="1" applyAlignment="1">
      <alignment horizontal="center" vertical="center" wrapText="1"/>
    </xf>
    <xf numFmtId="0" fontId="0" fillId="0" borderId="0" xfId="0" applyAlignment="1">
      <alignment vertical="center" wrapText="1"/>
    </xf>
    <xf numFmtId="0" fontId="12" fillId="6" borderId="0" xfId="0" applyFont="1" applyFill="1"/>
    <xf numFmtId="14" fontId="14" fillId="6" borderId="0" xfId="0" applyNumberFormat="1" applyFont="1" applyFill="1"/>
    <xf numFmtId="0" fontId="13" fillId="6" borderId="0" xfId="0" applyFont="1" applyFill="1"/>
    <xf numFmtId="0" fontId="14" fillId="6" borderId="0" xfId="0" applyFont="1" applyFill="1"/>
    <xf numFmtId="14" fontId="13" fillId="5" borderId="0" xfId="0" applyNumberFormat="1" applyFont="1" applyFill="1"/>
    <xf numFmtId="0" fontId="13" fillId="5" borderId="0" xfId="0" applyFont="1" applyFill="1"/>
    <xf numFmtId="14" fontId="10" fillId="5" borderId="0" xfId="0" applyNumberFormat="1" applyFont="1" applyFill="1"/>
    <xf numFmtId="0" fontId="12" fillId="9" borderId="0" xfId="0" applyFont="1" applyFill="1"/>
    <xf numFmtId="0" fontId="18" fillId="10" borderId="5" xfId="0" applyFont="1" applyFill="1" applyBorder="1"/>
    <xf numFmtId="14" fontId="18" fillId="10" borderId="5" xfId="0" applyNumberFormat="1" applyFont="1" applyFill="1" applyBorder="1"/>
    <xf numFmtId="0" fontId="18" fillId="9" borderId="0" xfId="0" applyFont="1" applyFill="1"/>
    <xf numFmtId="0" fontId="12" fillId="10" borderId="5" xfId="0" applyFont="1" applyFill="1" applyBorder="1"/>
    <xf numFmtId="14" fontId="15" fillId="5" borderId="0" xfId="0" applyNumberFormat="1" applyFont="1" applyFill="1"/>
    <xf numFmtId="0" fontId="12" fillId="5" borderId="0" xfId="0" applyFont="1" applyFill="1"/>
    <xf numFmtId="0" fontId="18" fillId="10" borderId="10" xfId="0" applyFont="1" applyFill="1" applyBorder="1"/>
    <xf numFmtId="14" fontId="18" fillId="10" borderId="10" xfId="0" applyNumberFormat="1" applyFont="1" applyFill="1" applyBorder="1"/>
    <xf numFmtId="0" fontId="16" fillId="11" borderId="16" xfId="0" applyFont="1" applyFill="1" applyBorder="1"/>
    <xf numFmtId="0" fontId="16" fillId="11" borderId="17" xfId="0" applyFont="1" applyFill="1" applyBorder="1"/>
    <xf numFmtId="14" fontId="16" fillId="11" borderId="18" xfId="0" applyNumberFormat="1" applyFont="1" applyFill="1" applyBorder="1"/>
    <xf numFmtId="14" fontId="14" fillId="5" borderId="15" xfId="0" applyNumberFormat="1" applyFont="1" applyFill="1" applyBorder="1"/>
    <xf numFmtId="0" fontId="12" fillId="0" borderId="0" xfId="0" applyFont="1"/>
    <xf numFmtId="0" fontId="12" fillId="3" borderId="0" xfId="0" applyFont="1" applyFill="1"/>
    <xf numFmtId="14" fontId="12" fillId="6" borderId="0" xfId="0" applyNumberFormat="1" applyFont="1" applyFill="1"/>
    <xf numFmtId="14" fontId="19" fillId="6" borderId="0" xfId="0" applyNumberFormat="1" applyFont="1" applyFill="1"/>
    <xf numFmtId="0" fontId="19" fillId="6" borderId="0" xfId="0" applyFont="1" applyFill="1"/>
    <xf numFmtId="0" fontId="12" fillId="6" borderId="19" xfId="0" applyFont="1" applyFill="1" applyBorder="1"/>
    <xf numFmtId="14" fontId="12" fillId="6" borderId="20" xfId="0" applyNumberFormat="1" applyFont="1" applyFill="1" applyBorder="1"/>
    <xf numFmtId="0" fontId="0" fillId="6" borderId="0" xfId="0" applyFill="1" applyAlignment="1">
      <alignment horizontal="left"/>
    </xf>
    <xf numFmtId="0" fontId="0" fillId="6" borderId="0" xfId="0" applyFill="1" applyAlignment="1">
      <alignment horizontal="left" indent="1"/>
    </xf>
    <xf numFmtId="165" fontId="0" fillId="6" borderId="0" xfId="0" applyNumberFormat="1" applyFill="1" applyAlignment="1">
      <alignment horizontal="left" indent="2"/>
    </xf>
    <xf numFmtId="0" fontId="17" fillId="6" borderId="5" xfId="0" applyFont="1" applyFill="1" applyBorder="1" applyAlignment="1">
      <alignment horizontal="right" wrapText="1"/>
    </xf>
    <xf numFmtId="0" fontId="16" fillId="6" borderId="0" xfId="0" applyFont="1" applyFill="1" applyAlignment="1">
      <alignment horizontal="center" vertical="center"/>
    </xf>
    <xf numFmtId="0" fontId="18" fillId="6" borderId="0" xfId="0" applyFont="1" applyFill="1"/>
    <xf numFmtId="0" fontId="20" fillId="5" borderId="0" xfId="0" applyFont="1" applyFill="1"/>
    <xf numFmtId="0" fontId="0" fillId="12" borderId="0" xfId="0" applyFill="1"/>
    <xf numFmtId="0" fontId="0" fillId="12" borderId="0" xfId="0" applyFill="1" applyAlignment="1">
      <alignment horizontal="left"/>
    </xf>
    <xf numFmtId="0" fontId="14" fillId="13" borderId="5" xfId="0" applyFont="1" applyFill="1" applyBorder="1" applyAlignment="1">
      <alignment wrapText="1"/>
    </xf>
    <xf numFmtId="166" fontId="14" fillId="6" borderId="5" xfId="0" applyNumberFormat="1" applyFont="1" applyFill="1" applyBorder="1" applyAlignment="1">
      <alignment horizontal="center" vertical="center"/>
    </xf>
    <xf numFmtId="0" fontId="13" fillId="6" borderId="5" xfId="0" applyFont="1" applyFill="1" applyBorder="1" applyAlignment="1">
      <alignment horizontal="center" vertical="center" wrapText="1"/>
    </xf>
    <xf numFmtId="165" fontId="0" fillId="6" borderId="0" xfId="0" applyNumberFormat="1" applyFill="1" applyAlignment="1">
      <alignment horizontal="left" indent="3"/>
    </xf>
    <xf numFmtId="0" fontId="8" fillId="5" borderId="0" xfId="0" applyFont="1" applyFill="1" applyAlignment="1">
      <alignment horizontal="center" vertical="center"/>
    </xf>
    <xf numFmtId="0" fontId="9" fillId="5" borderId="5" xfId="0" applyFont="1" applyFill="1" applyBorder="1" applyAlignment="1">
      <alignment horizontal="center"/>
    </xf>
    <xf numFmtId="0" fontId="9" fillId="5" borderId="7" xfId="0" applyFont="1" applyFill="1" applyBorder="1" applyAlignment="1">
      <alignment horizontal="center"/>
    </xf>
    <xf numFmtId="0" fontId="9" fillId="5" borderId="8" xfId="0" applyFont="1" applyFill="1" applyBorder="1" applyAlignment="1">
      <alignment horizontal="center"/>
    </xf>
    <xf numFmtId="0" fontId="9" fillId="5" borderId="9" xfId="0" applyFont="1" applyFill="1" applyBorder="1" applyAlignment="1">
      <alignment horizontal="center"/>
    </xf>
    <xf numFmtId="0" fontId="10" fillId="14" borderId="7" xfId="0" applyFont="1" applyFill="1" applyBorder="1" applyAlignment="1">
      <alignment horizontal="center" wrapText="1"/>
    </xf>
    <xf numFmtId="0" fontId="10" fillId="14" borderId="8" xfId="0" applyFont="1" applyFill="1" applyBorder="1" applyAlignment="1">
      <alignment horizontal="center" wrapText="1"/>
    </xf>
    <xf numFmtId="0" fontId="10" fillId="14" borderId="9" xfId="0" applyFont="1" applyFill="1" applyBorder="1" applyAlignment="1">
      <alignment horizontal="center" wrapText="1"/>
    </xf>
    <xf numFmtId="0" fontId="10" fillId="5" borderId="0" xfId="0" applyFont="1" applyFill="1" applyAlignment="1">
      <alignment horizontal="left"/>
    </xf>
    <xf numFmtId="0" fontId="10" fillId="5" borderId="0" xfId="0" applyFont="1" applyFill="1" applyAlignment="1">
      <alignment horizontal="center" vertical="center"/>
    </xf>
  </cellXfs>
  <cellStyles count="11">
    <cellStyle name="Day" xfId="5" xr:uid="{D61C1444-6A3D-4768-9E0B-1F502CD79C0E}"/>
    <cellStyle name="Day Detail" xfId="3" xr:uid="{AB005CA2-F563-441A-A8EC-1EE10B0795DE}"/>
    <cellStyle name="Heading 1 2" xfId="9" xr:uid="{75080611-4122-4E3B-9283-5B6DB5A29EC6}"/>
    <cellStyle name="Heading 2 2" xfId="6" xr:uid="{BE59ED97-077C-4FFF-B9A0-D3EF91BE9FBB}"/>
    <cellStyle name="Heading 3 2" xfId="7" xr:uid="{4410E0B0-5531-44A3-B94D-FD05953ED4AD}"/>
    <cellStyle name="Normal" xfId="0" builtinId="0"/>
    <cellStyle name="Normal 2" xfId="1" xr:uid="{81ACA401-9A82-4778-BE92-373191371ABF}"/>
    <cellStyle name="Notes" xfId="2" xr:uid="{50709A5C-A450-4010-9C22-F3195EC5A8C4}"/>
    <cellStyle name="Notes Header" xfId="4" xr:uid="{14D77533-8A67-4C3F-9F74-B86688076764}"/>
    <cellStyle name="Percent" xfId="10" builtinId="5"/>
    <cellStyle name="Title 2" xfId="8" xr:uid="{DA4DDC55-40DD-4BC1-9CCB-F82DCFE8409C}"/>
  </cellStyles>
  <dxfs count="7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4" tint="-0.24994659260841701"/>
        </patternFill>
      </fill>
    </dxf>
    <dxf>
      <fill>
        <patternFill>
          <bgColor theme="4" tint="-0.24994659260841701"/>
        </patternFill>
      </fill>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dxf>
    <dxf>
      <border>
        <bottom style="thin">
          <color indexed="64"/>
        </bottom>
      </border>
    </dxf>
    <dxf>
      <font>
        <strike val="0"/>
        <outline val="0"/>
        <shadow val="0"/>
        <u val="none"/>
        <vertAlign val="baseline"/>
        <sz val="11"/>
        <color auto="1"/>
        <name val="Calibri"/>
        <family val="2"/>
        <scheme val="minor"/>
      </font>
      <fill>
        <patternFill patternType="solid">
          <fgColor indexed="64"/>
          <bgColor rgb="FFAECBD6"/>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1"/>
        <color auto="1"/>
        <name val="Calibri"/>
        <family val="2"/>
        <scheme val="minor"/>
      </font>
      <fill>
        <patternFill patternType="solid">
          <fgColor indexed="64"/>
          <bgColor rgb="FFDBE8ED"/>
        </patternFill>
      </fill>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AECBD6"/>
        </patternFill>
      </fill>
      <border diagonalUp="0" diagonalDown="0" outline="0">
        <left style="thin">
          <color indexed="64"/>
        </left>
        <right style="thin">
          <color indexed="64"/>
        </right>
        <top/>
        <bottom/>
      </border>
    </dxf>
    <dxf>
      <fill>
        <patternFill patternType="solid">
          <fgColor indexed="64"/>
          <bgColor rgb="FFDBE8ED"/>
        </patternFill>
      </fill>
      <border diagonalUp="0" diagonalDown="0" outline="0">
        <left style="thin">
          <color indexed="64"/>
        </left>
        <right/>
        <top style="thin">
          <color indexed="64"/>
        </top>
        <bottom style="thin">
          <color indexed="64"/>
        </bottom>
      </border>
    </dxf>
    <dxf>
      <fill>
        <patternFill patternType="solid">
          <fgColor indexed="64"/>
          <bgColor rgb="FFDBE8ED"/>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rgb="FFDBE8ED"/>
        </patternFill>
      </fill>
    </dxf>
    <dxf>
      <border>
        <bottom style="thin">
          <color indexed="64"/>
        </bottom>
      </border>
    </dxf>
    <dxf>
      <font>
        <strike val="0"/>
        <outline val="0"/>
        <shadow val="0"/>
        <u val="none"/>
        <vertAlign val="baseline"/>
        <sz val="11"/>
        <color auto="1"/>
        <name val="Calibri"/>
        <family val="2"/>
        <scheme val="minor"/>
      </font>
      <fill>
        <patternFill patternType="solid">
          <fgColor indexed="64"/>
          <bgColor rgb="FFAECBD6"/>
        </patternFill>
      </fill>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border outline="0">
        <top style="thin">
          <color indexed="64"/>
        </top>
      </border>
    </dxf>
    <dxf>
      <fill>
        <patternFill patternType="solid">
          <fgColor indexed="64"/>
          <bgColor rgb="FFDBE8ED"/>
        </patternFill>
      </fill>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AECBD6"/>
        </patternFill>
      </fill>
      <border diagonalUp="0" diagonalDown="0" outline="0">
        <left style="thin">
          <color indexed="64"/>
        </left>
        <right style="thin">
          <color indexed="64"/>
        </right>
        <top/>
        <bottom/>
      </border>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3" formatCode="0%"/>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65" formatCode="yyyy\-mm\-dd;@"/>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65" formatCode="yyyy\-mm\-dd;@"/>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fill>
        <patternFill patternType="solid">
          <fgColor indexed="64"/>
          <bgColor rgb="FFDBE8ED"/>
        </patternFill>
      </fill>
    </dxf>
    <dxf>
      <border>
        <bottom style="thin">
          <color indexed="64"/>
        </bottom>
      </border>
    </dxf>
    <dxf>
      <font>
        <strike val="0"/>
        <outline val="0"/>
        <shadow val="0"/>
        <u val="none"/>
        <vertAlign val="baseline"/>
        <sz val="11"/>
        <color auto="1"/>
        <name val="Calibri"/>
        <family val="2"/>
        <scheme val="minor"/>
      </font>
      <fill>
        <patternFill patternType="solid">
          <fgColor indexed="64"/>
          <bgColor rgb="FFAECBD6"/>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7EADC0"/>
      <color rgb="FFB4CFDA"/>
      <color rgb="FF4A7F94"/>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pivotCacheDefinition" Target="pivotCache/pivotCacheDefinition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[MSE_Term_Project.xlsm]Graphical Output!PivotTable1</c:name>
    <c:fmtId val="2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'Graphical Output'!$B$3:$B$4</c:f>
              <c:strCache>
                <c:ptCount val="1"/>
                <c:pt idx="0">
                  <c:v>Assignment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'Graphical Output'!$A$5:$A$17</c:f>
              <c:multiLvlStrCache>
                <c:ptCount val="5"/>
                <c:lvl>
                  <c:pt idx="4">
                    <c:v>2024-09-10</c:v>
                  </c:pt>
                </c:lvl>
                <c:lvl>
                  <c:pt idx="3">
                    <c:v>2024-11-13</c:v>
                  </c:pt>
                  <c:pt idx="4">
                    <c:v>2024-09-02</c:v>
                  </c:pt>
                </c:lvl>
                <c:lvl>
                  <c:pt idx="0">
                    <c:v>Equilibruim</c:v>
                  </c:pt>
                  <c:pt idx="1">
                    <c:v>Quiz 8</c:v>
                  </c:pt>
                  <c:pt idx="2">
                    <c:v>Quiz 7</c:v>
                  </c:pt>
                  <c:pt idx="3">
                    <c:v>Individual</c:v>
                  </c:pt>
                  <c:pt idx="4">
                    <c:v>Python Assignment</c:v>
                  </c:pt>
                </c:lvl>
                <c:lvl>
                  <c:pt idx="0">
                    <c:v>Chem</c:v>
                  </c:pt>
                  <c:pt idx="1">
                    <c:v>MSE 121</c:v>
                  </c:pt>
                  <c:pt idx="3">
                    <c:v>MSE 100</c:v>
                  </c:pt>
                  <c:pt idx="4">
                    <c:v>Math 115</c:v>
                  </c:pt>
                </c:lvl>
              </c:multiLvlStrCache>
            </c:multiLvlStrRef>
          </c:cat>
          <c:val>
            <c:numRef>
              <c:f>'Graphical Output'!$B$5:$B$17</c:f>
              <c:numCache>
                <c:formatCode>General</c:formatCode>
                <c:ptCount val="5"/>
                <c:pt idx="0">
                  <c:v>3</c:v>
                </c:pt>
                <c:pt idx="4">
                  <c:v>2</c:v>
                </c:pt>
              </c:numCache>
            </c:numRef>
          </c:val>
          <c:extLst>
            <c:ext xmlns:c16="http://schemas.microsoft.com/office/drawing/2014/chart" uri="{C3380CC4-5D6E-409C-BE32-E72D297353CC}">
              <c16:uniqueId val="{00000000-32B3-4D85-B0F5-9BA8F04489C3}"/>
            </c:ext>
          </c:extLst>
        </c:ser>
        <c:ser>
          <c:idx val="1"/>
          <c:order val="1"/>
          <c:tx>
            <c:strRef>
              <c:f>'Graphical Output'!$C$3:$C$4</c:f>
              <c:strCache>
                <c:ptCount val="1"/>
                <c:pt idx="0">
                  <c:v>Project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'Graphical Output'!$A$5:$A$17</c:f>
              <c:multiLvlStrCache>
                <c:ptCount val="5"/>
                <c:lvl>
                  <c:pt idx="4">
                    <c:v>2024-09-10</c:v>
                  </c:pt>
                </c:lvl>
                <c:lvl>
                  <c:pt idx="3">
                    <c:v>2024-11-13</c:v>
                  </c:pt>
                  <c:pt idx="4">
                    <c:v>2024-09-02</c:v>
                  </c:pt>
                </c:lvl>
                <c:lvl>
                  <c:pt idx="0">
                    <c:v>Equilibruim</c:v>
                  </c:pt>
                  <c:pt idx="1">
                    <c:v>Quiz 8</c:v>
                  </c:pt>
                  <c:pt idx="2">
                    <c:v>Quiz 7</c:v>
                  </c:pt>
                  <c:pt idx="3">
                    <c:v>Individual</c:v>
                  </c:pt>
                  <c:pt idx="4">
                    <c:v>Python Assignment</c:v>
                  </c:pt>
                </c:lvl>
                <c:lvl>
                  <c:pt idx="0">
                    <c:v>Chem</c:v>
                  </c:pt>
                  <c:pt idx="1">
                    <c:v>MSE 121</c:v>
                  </c:pt>
                  <c:pt idx="3">
                    <c:v>MSE 100</c:v>
                  </c:pt>
                  <c:pt idx="4">
                    <c:v>Math 115</c:v>
                  </c:pt>
                </c:lvl>
              </c:multiLvlStrCache>
            </c:multiLvlStrRef>
          </c:cat>
          <c:val>
            <c:numRef>
              <c:f>'Graphical Output'!$C$5:$C$17</c:f>
              <c:numCache>
                <c:formatCode>General</c:formatCode>
                <c:ptCount val="5"/>
                <c:pt idx="3">
                  <c:v>3</c:v>
                </c:pt>
              </c:numCache>
            </c:numRef>
          </c:val>
          <c:extLst>
            <c:ext xmlns:c16="http://schemas.microsoft.com/office/drawing/2014/chart" uri="{C3380CC4-5D6E-409C-BE32-E72D297353CC}">
              <c16:uniqueId val="{00000001-32B3-4D85-B0F5-9BA8F04489C3}"/>
            </c:ext>
          </c:extLst>
        </c:ser>
        <c:ser>
          <c:idx val="2"/>
          <c:order val="2"/>
          <c:tx>
            <c:strRef>
              <c:f>'Graphical Output'!$D$3:$D$4</c:f>
              <c:strCache>
                <c:ptCount val="1"/>
                <c:pt idx="0">
                  <c:v>Test</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'Graphical Output'!$A$5:$A$17</c:f>
              <c:multiLvlStrCache>
                <c:ptCount val="5"/>
                <c:lvl>
                  <c:pt idx="4">
                    <c:v>2024-09-10</c:v>
                  </c:pt>
                </c:lvl>
                <c:lvl>
                  <c:pt idx="3">
                    <c:v>2024-11-13</c:v>
                  </c:pt>
                  <c:pt idx="4">
                    <c:v>2024-09-02</c:v>
                  </c:pt>
                </c:lvl>
                <c:lvl>
                  <c:pt idx="0">
                    <c:v>Equilibruim</c:v>
                  </c:pt>
                  <c:pt idx="1">
                    <c:v>Quiz 8</c:v>
                  </c:pt>
                  <c:pt idx="2">
                    <c:v>Quiz 7</c:v>
                  </c:pt>
                  <c:pt idx="3">
                    <c:v>Individual</c:v>
                  </c:pt>
                  <c:pt idx="4">
                    <c:v>Python Assignment</c:v>
                  </c:pt>
                </c:lvl>
                <c:lvl>
                  <c:pt idx="0">
                    <c:v>Chem</c:v>
                  </c:pt>
                  <c:pt idx="1">
                    <c:v>MSE 121</c:v>
                  </c:pt>
                  <c:pt idx="3">
                    <c:v>MSE 100</c:v>
                  </c:pt>
                  <c:pt idx="4">
                    <c:v>Math 115</c:v>
                  </c:pt>
                </c:lvl>
              </c:multiLvlStrCache>
            </c:multiLvlStrRef>
          </c:cat>
          <c:val>
            <c:numRef>
              <c:f>'Graphical Output'!$D$5:$D$17</c:f>
              <c:numCache>
                <c:formatCode>General</c:formatCode>
                <c:ptCount val="5"/>
                <c:pt idx="1">
                  <c:v>4</c:v>
                </c:pt>
                <c:pt idx="2">
                  <c:v>3</c:v>
                </c:pt>
              </c:numCache>
            </c:numRef>
          </c:val>
          <c:extLst>
            <c:ext xmlns:c16="http://schemas.microsoft.com/office/drawing/2014/chart" uri="{C3380CC4-5D6E-409C-BE32-E72D297353CC}">
              <c16:uniqueId val="{00000002-32B3-4D85-B0F5-9BA8F04489C3}"/>
            </c:ext>
          </c:extLst>
        </c:ser>
        <c:dLbls>
          <c:dLblPos val="inEnd"/>
          <c:showLegendKey val="0"/>
          <c:showVal val="1"/>
          <c:showCatName val="0"/>
          <c:showSerName val="0"/>
          <c:showPercent val="0"/>
          <c:showBubbleSize val="0"/>
        </c:dLbls>
        <c:gapWidth val="150"/>
        <c:overlap val="100"/>
        <c:axId val="649977232"/>
        <c:axId val="649977712"/>
      </c:barChart>
      <c:catAx>
        <c:axId val="64997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977712"/>
        <c:crosses val="autoZero"/>
        <c:auto val="1"/>
        <c:lblAlgn val="ctr"/>
        <c:lblOffset val="100"/>
        <c:noMultiLvlLbl val="0"/>
      </c:catAx>
      <c:valAx>
        <c:axId val="64997771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a:t>
                </a:r>
                <a:r>
                  <a:rPr lang="en-CA"/>
                  <a:t>Hours of Work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97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[MSE_Term_Project.xlsm]Graphical Output!PivotTable3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Hours</a:t>
            </a:r>
            <a:r>
              <a:rPr lang="en-US" baseline="0"/>
              <a:t> per Assignment For Today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w="19050">
            <a:solidFill>
              <a:schemeClr val="lt1"/>
            </a:solid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w="19050">
            <a:solidFill>
              <a:schemeClr val="lt1"/>
            </a:solid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w="19050">
            <a:solidFill>
              <a:schemeClr val="lt1"/>
            </a:solid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w="19050">
            <a:solidFill>
              <a:schemeClr val="lt1"/>
            </a:solid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w="19050">
            <a:solidFill>
              <a:schemeClr val="lt1"/>
            </a:solidFill>
          </a:ln>
          <a:effectLst/>
        </c:spPr>
      </c:pivotFmt>
      <c:pivotFmt>
        <c:idx val="23"/>
        <c:spPr>
          <a:solidFill>
            <a:schemeClr val="accent2"/>
          </a:solidFill>
          <a:ln w="19050">
            <a:solidFill>
              <a:schemeClr val="lt1"/>
            </a:solidFill>
          </a:ln>
          <a:effectLst/>
        </c:spPr>
      </c:pivotFmt>
      <c:pivotFmt>
        <c:idx val="24"/>
        <c:spPr>
          <a:solidFill>
            <a:schemeClr val="accent2"/>
          </a:solidFill>
          <a:ln w="19050">
            <a:solidFill>
              <a:schemeClr val="lt1"/>
            </a:solidFill>
          </a:ln>
          <a:effectLst/>
        </c:spPr>
      </c:pivotFmt>
      <c:pivotFmt>
        <c:idx val="25"/>
        <c:spPr>
          <a:solidFill>
            <a:schemeClr val="accent2"/>
          </a:solidFill>
          <a:ln w="19050">
            <a:solidFill>
              <a:schemeClr val="lt1"/>
            </a:solidFill>
          </a:ln>
          <a:effectLst/>
        </c:spPr>
      </c:pivotFmt>
      <c:pivotFmt>
        <c:idx val="26"/>
        <c:spPr>
          <a:solidFill>
            <a:schemeClr val="accent2"/>
          </a:solidFill>
          <a:ln w="19050">
            <a:solidFill>
              <a:schemeClr val="lt1"/>
            </a:solidFill>
          </a:ln>
          <a:effectLst/>
        </c:spPr>
      </c:pivotFmt>
    </c:pivotFmts>
    <c:plotArea>
      <c:layout/>
      <c:pieChart>
        <c:varyColors val="1"/>
        <c:ser>
          <c:idx val="0"/>
          <c:order val="0"/>
          <c:tx>
            <c:strRef>
              <c:f>'Graphical Output'!$R$3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ECA-47F9-9604-F31D74A703C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ECA-47F9-9604-F31D74A703C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4ECA-47F9-9604-F31D74A703C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4ECA-47F9-9604-F31D74A703C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4ECA-47F9-9604-F31D74A703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'Graphical Output'!$Q$4:$Q$7</c:f>
              <c:strCache>
                <c:ptCount val="3"/>
                <c:pt idx="0">
                  <c:v>Quiz 7</c:v>
                </c:pt>
                <c:pt idx="1">
                  <c:v>Quiz 8</c:v>
                </c:pt>
                <c:pt idx="2">
                  <c:v>(blank)</c:v>
                </c:pt>
              </c:strCache>
            </c:strRef>
          </c:cat>
          <c:val>
            <c:numRef>
              <c:f>'Graphical Output'!$R$4:$R$7</c:f>
              <c:numCache>
                <c:formatCode>General</c:formatCode>
                <c:ptCount val="3"/>
                <c:pt idx="0">
                  <c:v>3</c:v>
                </c:pt>
                <c:pt idx="1">
                  <c:v>1</c:v>
                </c:pt>
              </c:numCache>
            </c:numRef>
          </c:val>
          <c:extLst>
            <c:ext xmlns:c16="http://schemas.microsoft.com/office/drawing/2014/chart" uri="{C3380CC4-5D6E-409C-BE32-E72D297353CC}">
              <c16:uniqueId val="{00000006-030A-40CD-B37D-339C1E93F77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Task Filter'!A1"/><Relationship Id="rId7" Type="http://schemas.openxmlformats.org/officeDocument/2006/relationships/hyperlink" Target="#'Graphical Output'!A1"/><Relationship Id="rId2" Type="http://schemas.openxmlformats.org/officeDocument/2006/relationships/hyperlink" Target="#'Personal Profile'!A1"/><Relationship Id="rId1" Type="http://schemas.openxmlformats.org/officeDocument/2006/relationships/hyperlink" Target="#'Task Tracking Sheet'!A1"/><Relationship Id="rId6" Type="http://schemas.openxmlformats.org/officeDocument/2006/relationships/hyperlink" Target="#'Gantt Chart'!A1"/><Relationship Id="rId5" Type="http://schemas.openxmlformats.org/officeDocument/2006/relationships/hyperlink" Target="#'Data Processing'!A1"/><Relationship Id="rId4" Type="http://schemas.openxmlformats.org/officeDocument/2006/relationships/hyperlink" Target="#'Calendar Breakdown'!A1"/></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image" Target="../media/image7.svg"/></Relationships>
</file>

<file path=xl/drawings/_rels/drawing5.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xdr:from>
      <xdr:col>0</xdr:col>
      <xdr:colOff>290513</xdr:colOff>
      <xdr:row>2</xdr:row>
      <xdr:rowOff>71438</xdr:rowOff>
    </xdr:from>
    <xdr:to>
      <xdr:col>3</xdr:col>
      <xdr:colOff>266700</xdr:colOff>
      <xdr:row>5</xdr:row>
      <xdr:rowOff>95250</xdr:rowOff>
    </xdr:to>
    <xdr:sp macro="" textlink="">
      <xdr:nvSpPr>
        <xdr:cNvPr id="24" name="Rectangle 1">
          <a:hlinkClick xmlns:r="http://schemas.openxmlformats.org/officeDocument/2006/relationships" r:id="rId1"/>
          <a:extLst>
            <a:ext uri="{FF2B5EF4-FFF2-40B4-BE49-F238E27FC236}">
              <a16:creationId xmlns:a16="http://schemas.microsoft.com/office/drawing/2014/main" id="{D14DCE59-F638-8E53-BE3C-2A3AF07AFEF8}"/>
            </a:ext>
          </a:extLst>
        </xdr:cNvPr>
        <xdr:cNvSpPr/>
      </xdr:nvSpPr>
      <xdr:spPr>
        <a:xfrm>
          <a:off x="290513" y="1052513"/>
          <a:ext cx="2443162"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Task Tracking Sheet</a:t>
          </a:r>
        </a:p>
      </xdr:txBody>
    </xdr:sp>
    <xdr:clientData/>
  </xdr:twoCellAnchor>
  <xdr:twoCellAnchor>
    <xdr:from>
      <xdr:col>0</xdr:col>
      <xdr:colOff>285751</xdr:colOff>
      <xdr:row>6</xdr:row>
      <xdr:rowOff>142875</xdr:rowOff>
    </xdr:from>
    <xdr:to>
      <xdr:col>3</xdr:col>
      <xdr:colOff>261938</xdr:colOff>
      <xdr:row>9</xdr:row>
      <xdr:rowOff>166687</xdr:rowOff>
    </xdr:to>
    <xdr:sp macro="" textlink="">
      <xdr:nvSpPr>
        <xdr:cNvPr id="25" name="Rectangle 2">
          <a:hlinkClick xmlns:r="http://schemas.openxmlformats.org/officeDocument/2006/relationships" r:id="rId2"/>
          <a:extLst>
            <a:ext uri="{FF2B5EF4-FFF2-40B4-BE49-F238E27FC236}">
              <a16:creationId xmlns:a16="http://schemas.microsoft.com/office/drawing/2014/main" id="{3010B7AE-0D57-4D91-AF4E-945D99B17F3F}"/>
            </a:ext>
          </a:extLst>
        </xdr:cNvPr>
        <xdr:cNvSpPr/>
      </xdr:nvSpPr>
      <xdr:spPr>
        <a:xfrm>
          <a:off x="285751" y="1847850"/>
          <a:ext cx="2443162"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Personal Profile</a:t>
          </a:r>
        </a:p>
      </xdr:txBody>
    </xdr:sp>
    <xdr:clientData/>
  </xdr:twoCellAnchor>
  <xdr:twoCellAnchor>
    <xdr:from>
      <xdr:col>0</xdr:col>
      <xdr:colOff>280988</xdr:colOff>
      <xdr:row>11</xdr:row>
      <xdr:rowOff>61913</xdr:rowOff>
    </xdr:from>
    <xdr:to>
      <xdr:col>3</xdr:col>
      <xdr:colOff>257175</xdr:colOff>
      <xdr:row>14</xdr:row>
      <xdr:rowOff>85725</xdr:rowOff>
    </xdr:to>
    <xdr:sp macro="" textlink="">
      <xdr:nvSpPr>
        <xdr:cNvPr id="26" name="Rectangle 3">
          <a:hlinkClick xmlns:r="http://schemas.openxmlformats.org/officeDocument/2006/relationships" r:id="rId3"/>
          <a:extLst>
            <a:ext uri="{FF2B5EF4-FFF2-40B4-BE49-F238E27FC236}">
              <a16:creationId xmlns:a16="http://schemas.microsoft.com/office/drawing/2014/main" id="{EA8D5949-1494-4F71-92FB-82123BBD7C2A}"/>
            </a:ext>
          </a:extLst>
        </xdr:cNvPr>
        <xdr:cNvSpPr/>
      </xdr:nvSpPr>
      <xdr:spPr>
        <a:xfrm>
          <a:off x="280988" y="2671763"/>
          <a:ext cx="2443162"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Task</a:t>
          </a:r>
          <a:r>
            <a:rPr lang="en-CA" sz="1600" b="1" kern="1200" baseline="0">
              <a:solidFill>
                <a:sysClr val="windowText" lastClr="000000"/>
              </a:solidFill>
              <a:latin typeface="Franklin Gothic Book" panose="020B0503020102020204" pitchFamily="34" charset="0"/>
            </a:rPr>
            <a:t> Filter</a:t>
          </a:r>
          <a:endParaRPr lang="en-CA" sz="1600" b="1" kern="1200">
            <a:solidFill>
              <a:sysClr val="windowText" lastClr="000000"/>
            </a:solidFill>
            <a:latin typeface="Franklin Gothic Book" panose="020B0503020102020204" pitchFamily="34" charset="0"/>
          </a:endParaRPr>
        </a:p>
      </xdr:txBody>
    </xdr:sp>
    <xdr:clientData/>
  </xdr:twoCellAnchor>
  <xdr:twoCellAnchor>
    <xdr:from>
      <xdr:col>0</xdr:col>
      <xdr:colOff>304800</xdr:colOff>
      <xdr:row>15</xdr:row>
      <xdr:rowOff>166688</xdr:rowOff>
    </xdr:from>
    <xdr:to>
      <xdr:col>3</xdr:col>
      <xdr:colOff>280987</xdr:colOff>
      <xdr:row>19</xdr:row>
      <xdr:rowOff>9525</xdr:rowOff>
    </xdr:to>
    <xdr:sp macro="" textlink="">
      <xdr:nvSpPr>
        <xdr:cNvPr id="27" name="Rectangle 4">
          <a:hlinkClick xmlns:r="http://schemas.openxmlformats.org/officeDocument/2006/relationships" r:id="rId4"/>
          <a:extLst>
            <a:ext uri="{FF2B5EF4-FFF2-40B4-BE49-F238E27FC236}">
              <a16:creationId xmlns:a16="http://schemas.microsoft.com/office/drawing/2014/main" id="{282B6A74-384B-4704-B65B-9BA45D83FA07}"/>
            </a:ext>
          </a:extLst>
        </xdr:cNvPr>
        <xdr:cNvSpPr/>
      </xdr:nvSpPr>
      <xdr:spPr>
        <a:xfrm>
          <a:off x="304800" y="3500438"/>
          <a:ext cx="2443162"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Calendar Breakdown</a:t>
          </a:r>
        </a:p>
      </xdr:txBody>
    </xdr:sp>
    <xdr:clientData/>
  </xdr:twoCellAnchor>
  <xdr:twoCellAnchor>
    <xdr:from>
      <xdr:col>3</xdr:col>
      <xdr:colOff>557212</xdr:colOff>
      <xdr:row>2</xdr:row>
      <xdr:rowOff>76200</xdr:rowOff>
    </xdr:from>
    <xdr:to>
      <xdr:col>7</xdr:col>
      <xdr:colOff>409574</xdr:colOff>
      <xdr:row>5</xdr:row>
      <xdr:rowOff>100012</xdr:rowOff>
    </xdr:to>
    <xdr:sp macro="" textlink="">
      <xdr:nvSpPr>
        <xdr:cNvPr id="28" name="Rectangle 5">
          <a:hlinkClick xmlns:r="http://schemas.openxmlformats.org/officeDocument/2006/relationships" r:id="rId5"/>
          <a:extLst>
            <a:ext uri="{FF2B5EF4-FFF2-40B4-BE49-F238E27FC236}">
              <a16:creationId xmlns:a16="http://schemas.microsoft.com/office/drawing/2014/main" id="{B772A74C-9A50-476E-9217-73A24EA97BB0}"/>
            </a:ext>
          </a:extLst>
        </xdr:cNvPr>
        <xdr:cNvSpPr/>
      </xdr:nvSpPr>
      <xdr:spPr>
        <a:xfrm>
          <a:off x="3024187" y="1057275"/>
          <a:ext cx="2443162"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Data Processing Sheet</a:t>
          </a:r>
        </a:p>
      </xdr:txBody>
    </xdr:sp>
    <xdr:clientData/>
  </xdr:twoCellAnchor>
  <xdr:twoCellAnchor>
    <xdr:from>
      <xdr:col>3</xdr:col>
      <xdr:colOff>533400</xdr:colOff>
      <xdr:row>7</xdr:row>
      <xdr:rowOff>0</xdr:rowOff>
    </xdr:from>
    <xdr:to>
      <xdr:col>7</xdr:col>
      <xdr:colOff>428625</xdr:colOff>
      <xdr:row>10</xdr:row>
      <xdr:rowOff>23812</xdr:rowOff>
    </xdr:to>
    <xdr:sp macro="" textlink="">
      <xdr:nvSpPr>
        <xdr:cNvPr id="29" name="Rectangle 1">
          <a:hlinkClick xmlns:r="http://schemas.openxmlformats.org/officeDocument/2006/relationships" r:id="rId6"/>
          <a:extLst>
            <a:ext uri="{FF2B5EF4-FFF2-40B4-BE49-F238E27FC236}">
              <a16:creationId xmlns:a16="http://schemas.microsoft.com/office/drawing/2014/main" id="{CC1D0C04-5DA5-47A2-B5D9-308BF6009002}"/>
            </a:ext>
          </a:extLst>
        </xdr:cNvPr>
        <xdr:cNvSpPr/>
      </xdr:nvSpPr>
      <xdr:spPr>
        <a:xfrm>
          <a:off x="2947988" y="1885950"/>
          <a:ext cx="2390775"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Gantt Chart</a:t>
          </a:r>
        </a:p>
      </xdr:txBody>
    </xdr:sp>
    <xdr:clientData/>
  </xdr:twoCellAnchor>
  <xdr:twoCellAnchor>
    <xdr:from>
      <xdr:col>3</xdr:col>
      <xdr:colOff>557212</xdr:colOff>
      <xdr:row>11</xdr:row>
      <xdr:rowOff>95250</xdr:rowOff>
    </xdr:from>
    <xdr:to>
      <xdr:col>7</xdr:col>
      <xdr:colOff>452437</xdr:colOff>
      <xdr:row>14</xdr:row>
      <xdr:rowOff>119062</xdr:rowOff>
    </xdr:to>
    <xdr:sp macro="" textlink="">
      <xdr:nvSpPr>
        <xdr:cNvPr id="30" name="Rectangle 2">
          <a:hlinkClick xmlns:r="http://schemas.openxmlformats.org/officeDocument/2006/relationships" r:id="rId7"/>
          <a:extLst>
            <a:ext uri="{FF2B5EF4-FFF2-40B4-BE49-F238E27FC236}">
              <a16:creationId xmlns:a16="http://schemas.microsoft.com/office/drawing/2014/main" id="{5400ACE6-6B52-4C3E-BF08-929FC31A8D0C}"/>
            </a:ext>
          </a:extLst>
        </xdr:cNvPr>
        <xdr:cNvSpPr/>
      </xdr:nvSpPr>
      <xdr:spPr>
        <a:xfrm>
          <a:off x="2971800" y="2705100"/>
          <a:ext cx="2390775"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Graphical Output</a:t>
          </a:r>
        </a:p>
      </xdr:txBody>
    </xdr:sp>
    <xdr:clientData/>
  </xdr:twoCellAnchor>
  <xdr:twoCellAnchor>
    <xdr:from>
      <xdr:col>3</xdr:col>
      <xdr:colOff>538162</xdr:colOff>
      <xdr:row>15</xdr:row>
      <xdr:rowOff>119062</xdr:rowOff>
    </xdr:from>
    <xdr:to>
      <xdr:col>7</xdr:col>
      <xdr:colOff>433387</xdr:colOff>
      <xdr:row>18</xdr:row>
      <xdr:rowOff>142874</xdr:rowOff>
    </xdr:to>
    <xdr:sp macro="" textlink="">
      <xdr:nvSpPr>
        <xdr:cNvPr id="31" name="Rectangle 3">
          <a:hlinkClick xmlns:r="http://schemas.openxmlformats.org/officeDocument/2006/relationships" r:id="rId4"/>
          <a:extLst>
            <a:ext uri="{FF2B5EF4-FFF2-40B4-BE49-F238E27FC236}">
              <a16:creationId xmlns:a16="http://schemas.microsoft.com/office/drawing/2014/main" id="{353833BA-3967-446F-9052-1CF43E2260B7}"/>
            </a:ext>
          </a:extLst>
        </xdr:cNvPr>
        <xdr:cNvSpPr/>
      </xdr:nvSpPr>
      <xdr:spPr>
        <a:xfrm>
          <a:off x="2952750" y="3452812"/>
          <a:ext cx="2390775" cy="566737"/>
        </a:xfrm>
        <a:prstGeom prst="rect">
          <a:avLst/>
        </a:prstGeom>
        <a:solidFill>
          <a:srgbClr val="ABC9D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kern="1200">
              <a:solidFill>
                <a:sysClr val="windowText" lastClr="000000"/>
              </a:solidFill>
              <a:latin typeface="Franklin Gothic Book" panose="020B0503020102020204" pitchFamily="34" charset="0"/>
            </a:rPr>
            <a:t>Calendar</a:t>
          </a:r>
        </a:p>
      </xdr:txBody>
    </xdr:sp>
    <xdr:clientData/>
  </xdr:twoCellAnchor>
  <xdr:twoCellAnchor editAs="oneCell">
    <xdr:from>
      <xdr:col>8</xdr:col>
      <xdr:colOff>180977</xdr:colOff>
      <xdr:row>2</xdr:row>
      <xdr:rowOff>104775</xdr:rowOff>
    </xdr:from>
    <xdr:to>
      <xdr:col>10</xdr:col>
      <xdr:colOff>252861</xdr:colOff>
      <xdr:row>11</xdr:row>
      <xdr:rowOff>100013</xdr:rowOff>
    </xdr:to>
    <xdr:pic macro="[0]!Motivational_Quote">
      <xdr:nvPicPr>
        <xdr:cNvPr id="37" name="Picture 5" descr="Chatty cartoon bee">
          <a:extLst>
            <a:ext uri="{FF2B5EF4-FFF2-40B4-BE49-F238E27FC236}">
              <a16:creationId xmlns:a16="http://schemas.microsoft.com/office/drawing/2014/main" id="{F5617BF7-BD28-B571-F91E-960EDF6EFCF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715002" y="1085850"/>
          <a:ext cx="1291084" cy="16525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19049</xdr:colOff>
      <xdr:row>2</xdr:row>
      <xdr:rowOff>28574</xdr:rowOff>
    </xdr:from>
    <xdr:to>
      <xdr:col>13</xdr:col>
      <xdr:colOff>314325</xdr:colOff>
      <xdr:row>4</xdr:row>
      <xdr:rowOff>0</xdr:rowOff>
    </xdr:to>
    <xdr:sp macro="[0]!ShowAddTaskForm" textlink="">
      <xdr:nvSpPr>
        <xdr:cNvPr id="2" name="Rectangle 1">
          <a:extLst>
            <a:ext uri="{FF2B5EF4-FFF2-40B4-BE49-F238E27FC236}">
              <a16:creationId xmlns:a16="http://schemas.microsoft.com/office/drawing/2014/main" id="{DB413AEE-2FE4-4AE2-9E3A-8E79111DCBE5}"/>
            </a:ext>
          </a:extLst>
        </xdr:cNvPr>
        <xdr:cNvSpPr/>
      </xdr:nvSpPr>
      <xdr:spPr>
        <a:xfrm>
          <a:off x="10058399" y="1152524"/>
          <a:ext cx="2152651" cy="381001"/>
        </a:xfrm>
        <a:prstGeom prst="rect">
          <a:avLst/>
        </a:prstGeom>
        <a:solidFill>
          <a:srgbClr val="4A7F94"/>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0" kern="1200">
              <a:latin typeface="Franklin Gothic Book" panose="020B0503020102020204" pitchFamily="34" charset="0"/>
            </a:rPr>
            <a:t>Add Assignment/Tests/Tasks</a:t>
          </a:r>
        </a:p>
      </xdr:txBody>
    </xdr:sp>
    <xdr:clientData/>
  </xdr:twoCellAnchor>
  <xdr:twoCellAnchor>
    <xdr:from>
      <xdr:col>10</xdr:col>
      <xdr:colOff>38099</xdr:colOff>
      <xdr:row>4</xdr:row>
      <xdr:rowOff>180974</xdr:rowOff>
    </xdr:from>
    <xdr:to>
      <xdr:col>13</xdr:col>
      <xdr:colOff>333375</xdr:colOff>
      <xdr:row>8</xdr:row>
      <xdr:rowOff>0</xdr:rowOff>
    </xdr:to>
    <xdr:sp macro="[0]!ShowUpdateForm" textlink="">
      <xdr:nvSpPr>
        <xdr:cNvPr id="3" name="Rectangle 2">
          <a:extLst>
            <a:ext uri="{FF2B5EF4-FFF2-40B4-BE49-F238E27FC236}">
              <a16:creationId xmlns:a16="http://schemas.microsoft.com/office/drawing/2014/main" id="{13144784-AB57-41FF-B2B0-70531AD2F197}"/>
            </a:ext>
          </a:extLst>
        </xdr:cNvPr>
        <xdr:cNvSpPr/>
      </xdr:nvSpPr>
      <xdr:spPr>
        <a:xfrm>
          <a:off x="10077449" y="1714499"/>
          <a:ext cx="2152651" cy="742951"/>
        </a:xfrm>
        <a:prstGeom prst="rect">
          <a:avLst/>
        </a:prstGeom>
        <a:solidFill>
          <a:srgbClr val="4A7F94"/>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0" kern="1200">
              <a:latin typeface="Franklin Gothic Book" panose="020B0503020102020204" pitchFamily="34" charset="0"/>
            </a:rPr>
            <a:t>Update Progress</a:t>
          </a:r>
        </a:p>
      </xdr:txBody>
    </xdr:sp>
    <xdr:clientData/>
  </xdr:twoCellAnchor>
  <xdr:twoCellAnchor editAs="oneCell">
    <xdr:from>
      <xdr:col>9</xdr:col>
      <xdr:colOff>203200</xdr:colOff>
      <xdr:row>0</xdr:row>
      <xdr:rowOff>31750</xdr:rowOff>
    </xdr:from>
    <xdr:to>
      <xdr:col>11</xdr:col>
      <xdr:colOff>501650</xdr:colOff>
      <xdr:row>0</xdr:row>
      <xdr:rowOff>673100</xdr:rowOff>
    </xdr:to>
    <xdr:pic macro="[0]!Graphic9_Click">
      <xdr:nvPicPr>
        <xdr:cNvPr id="10" name="Graphic 9" descr="Home outline">
          <a:extLst>
            <a:ext uri="{FF2B5EF4-FFF2-40B4-BE49-F238E27FC236}">
              <a16:creationId xmlns:a16="http://schemas.microsoft.com/office/drawing/2014/main" id="{BCF2F2D2-9D86-12AB-9129-86E44DC647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740900" y="31750"/>
          <a:ext cx="641350" cy="641350"/>
        </a:xfrm>
        <a:prstGeom prst="rect">
          <a:avLst/>
        </a:prstGeom>
      </xdr:spPr>
    </xdr:pic>
    <xdr:clientData/>
  </xdr:twoCellAnchor>
  <xdr:oneCellAnchor>
    <xdr:from>
      <xdr:col>8</xdr:col>
      <xdr:colOff>3009900</xdr:colOff>
      <xdr:row>0</xdr:row>
      <xdr:rowOff>565150</xdr:rowOff>
    </xdr:from>
    <xdr:ext cx="1499000" cy="264560"/>
    <xdr:sp macro="" textlink="">
      <xdr:nvSpPr>
        <xdr:cNvPr id="11" name="TextBox 10">
          <a:extLst>
            <a:ext uri="{FF2B5EF4-FFF2-40B4-BE49-F238E27FC236}">
              <a16:creationId xmlns:a16="http://schemas.microsoft.com/office/drawing/2014/main" id="{B35FB26D-706D-AD09-6907-8BCC7D93FC23}"/>
            </a:ext>
          </a:extLst>
        </xdr:cNvPr>
        <xdr:cNvSpPr txBox="1"/>
      </xdr:nvSpPr>
      <xdr:spPr>
        <a:xfrm>
          <a:off x="9321800" y="565150"/>
          <a:ext cx="1499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solidFill>
                <a:schemeClr val="bg1"/>
              </a:solidFill>
            </a:rPr>
            <a:t>click to return to home</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9525</xdr:colOff>
      <xdr:row>5</xdr:row>
      <xdr:rowOff>123825</xdr:rowOff>
    </xdr:from>
    <xdr:to>
      <xdr:col>2</xdr:col>
      <xdr:colOff>981075</xdr:colOff>
      <xdr:row>9</xdr:row>
      <xdr:rowOff>142875</xdr:rowOff>
    </xdr:to>
    <xdr:sp macro="[0]!ShowEditPersonalProfile" textlink="">
      <xdr:nvSpPr>
        <xdr:cNvPr id="2" name="Rectangle 1">
          <a:extLst>
            <a:ext uri="{FF2B5EF4-FFF2-40B4-BE49-F238E27FC236}">
              <a16:creationId xmlns:a16="http://schemas.microsoft.com/office/drawing/2014/main" id="{87BDFA61-E14E-44F3-A928-CEEDBF0BCE36}"/>
            </a:ext>
          </a:extLst>
        </xdr:cNvPr>
        <xdr:cNvSpPr/>
      </xdr:nvSpPr>
      <xdr:spPr>
        <a:xfrm>
          <a:off x="104775" y="1962150"/>
          <a:ext cx="1990725" cy="742950"/>
        </a:xfrm>
        <a:prstGeom prst="rect">
          <a:avLst/>
        </a:prstGeom>
        <a:solidFill>
          <a:srgbClr val="4A7F94"/>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0" kern="1200">
              <a:latin typeface="Franklin Gothic Book" panose="020B0503020102020204" pitchFamily="34" charset="0"/>
            </a:rPr>
            <a:t>Edit Personal Profile</a:t>
          </a:r>
        </a:p>
      </xdr:txBody>
    </xdr:sp>
    <xdr:clientData/>
  </xdr:twoCellAnchor>
  <xdr:twoCellAnchor editAs="oneCell">
    <xdr:from>
      <xdr:col>3</xdr:col>
      <xdr:colOff>444500</xdr:colOff>
      <xdr:row>0</xdr:row>
      <xdr:rowOff>0</xdr:rowOff>
    </xdr:from>
    <xdr:to>
      <xdr:col>5</xdr:col>
      <xdr:colOff>152400</xdr:colOff>
      <xdr:row>0</xdr:row>
      <xdr:rowOff>914400</xdr:rowOff>
    </xdr:to>
    <xdr:pic macro="[0]!PersonalProfile_Graphic3_Click">
      <xdr:nvPicPr>
        <xdr:cNvPr id="4" name="Graphic 3" descr="Home outline">
          <a:extLst>
            <a:ext uri="{FF2B5EF4-FFF2-40B4-BE49-F238E27FC236}">
              <a16:creationId xmlns:a16="http://schemas.microsoft.com/office/drawing/2014/main" id="{8ADFD430-F16C-EC8A-4346-1A83DBAF8B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01900" y="0"/>
          <a:ext cx="914400" cy="914400"/>
        </a:xfrm>
        <a:prstGeom prst="rect">
          <a:avLst/>
        </a:prstGeom>
      </xdr:spPr>
    </xdr:pic>
    <xdr:clientData/>
  </xdr:twoCellAnchor>
  <xdr:oneCellAnchor>
    <xdr:from>
      <xdr:col>3</xdr:col>
      <xdr:colOff>196850</xdr:colOff>
      <xdr:row>0</xdr:row>
      <xdr:rowOff>768350</xdr:rowOff>
    </xdr:from>
    <xdr:ext cx="1530868" cy="264560"/>
    <xdr:sp macro="" textlink="">
      <xdr:nvSpPr>
        <xdr:cNvPr id="5" name="TextBox 4">
          <a:extLst>
            <a:ext uri="{FF2B5EF4-FFF2-40B4-BE49-F238E27FC236}">
              <a16:creationId xmlns:a16="http://schemas.microsoft.com/office/drawing/2014/main" id="{BBFD623E-0338-BECE-D93C-57D1ACFBE1F3}"/>
            </a:ext>
          </a:extLst>
        </xdr:cNvPr>
        <xdr:cNvSpPr txBox="1"/>
      </xdr:nvSpPr>
      <xdr:spPr>
        <a:xfrm>
          <a:off x="2254250" y="768350"/>
          <a:ext cx="153086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solidFill>
                <a:schemeClr val="bg1"/>
              </a:solidFill>
            </a:rPr>
            <a:t>click to return to home</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1745281</xdr:colOff>
      <xdr:row>0</xdr:row>
      <xdr:rowOff>152400</xdr:rowOff>
    </xdr:from>
    <xdr:to>
      <xdr:col>3</xdr:col>
      <xdr:colOff>216976</xdr:colOff>
      <xdr:row>0</xdr:row>
      <xdr:rowOff>1142569</xdr:rowOff>
    </xdr:to>
    <xdr:sp macro="" textlink="">
      <xdr:nvSpPr>
        <xdr:cNvPr id="8" name="Rectangle 7">
          <a:extLst>
            <a:ext uri="{FF2B5EF4-FFF2-40B4-BE49-F238E27FC236}">
              <a16:creationId xmlns:a16="http://schemas.microsoft.com/office/drawing/2014/main" id="{EC24C03C-3766-4942-AA8B-06C041A8DB3C}"/>
            </a:ext>
          </a:extLst>
        </xdr:cNvPr>
        <xdr:cNvSpPr/>
      </xdr:nvSpPr>
      <xdr:spPr>
        <a:xfrm>
          <a:off x="8945535" y="152400"/>
          <a:ext cx="1130085" cy="990169"/>
        </a:xfrm>
        <a:prstGeom prst="rect">
          <a:avLst/>
        </a:prstGeom>
        <a:solidFill>
          <a:srgbClr val="7EAD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2</xdr:col>
      <xdr:colOff>581186</xdr:colOff>
      <xdr:row>0</xdr:row>
      <xdr:rowOff>161441</xdr:rowOff>
    </xdr:from>
    <xdr:to>
      <xdr:col>2</xdr:col>
      <xdr:colOff>1711271</xdr:colOff>
      <xdr:row>0</xdr:row>
      <xdr:rowOff>1151610</xdr:rowOff>
    </xdr:to>
    <xdr:sp macro="" textlink="">
      <xdr:nvSpPr>
        <xdr:cNvPr id="7" name="Rectangle 6">
          <a:extLst>
            <a:ext uri="{FF2B5EF4-FFF2-40B4-BE49-F238E27FC236}">
              <a16:creationId xmlns:a16="http://schemas.microsoft.com/office/drawing/2014/main" id="{CB4EED5C-6848-E984-0EBF-87CD094A337B}"/>
            </a:ext>
          </a:extLst>
        </xdr:cNvPr>
        <xdr:cNvSpPr/>
      </xdr:nvSpPr>
      <xdr:spPr>
        <a:xfrm>
          <a:off x="7781440" y="161441"/>
          <a:ext cx="1130085" cy="990169"/>
        </a:xfrm>
        <a:prstGeom prst="rect">
          <a:avLst/>
        </a:prstGeom>
        <a:solidFill>
          <a:srgbClr val="7EAD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editAs="oneCell">
    <xdr:from>
      <xdr:col>2</xdr:col>
      <xdr:colOff>651558</xdr:colOff>
      <xdr:row>0</xdr:row>
      <xdr:rowOff>324493</xdr:rowOff>
    </xdr:from>
    <xdr:to>
      <xdr:col>2</xdr:col>
      <xdr:colOff>1565958</xdr:colOff>
      <xdr:row>1</xdr:row>
      <xdr:rowOff>67358</xdr:rowOff>
    </xdr:to>
    <xdr:pic macro="[0]!Graphic3_Click">
      <xdr:nvPicPr>
        <xdr:cNvPr id="4" name="Graphic 3" descr="Flip calendar outline">
          <a:extLst>
            <a:ext uri="{FF2B5EF4-FFF2-40B4-BE49-F238E27FC236}">
              <a16:creationId xmlns:a16="http://schemas.microsoft.com/office/drawing/2014/main" id="{BFEC783F-611A-DE37-942A-77AE72DCF0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04153" y="324493"/>
          <a:ext cx="914400" cy="914400"/>
        </a:xfrm>
        <a:prstGeom prst="rect">
          <a:avLst/>
        </a:prstGeom>
      </xdr:spPr>
    </xdr:pic>
    <xdr:clientData/>
  </xdr:twoCellAnchor>
  <xdr:twoCellAnchor editAs="oneCell">
    <xdr:from>
      <xdr:col>2</xdr:col>
      <xdr:colOff>1840697</xdr:colOff>
      <xdr:row>0</xdr:row>
      <xdr:rowOff>369747</xdr:rowOff>
    </xdr:from>
    <xdr:to>
      <xdr:col>3</xdr:col>
      <xdr:colOff>101545</xdr:colOff>
      <xdr:row>1</xdr:row>
      <xdr:rowOff>112612</xdr:rowOff>
    </xdr:to>
    <xdr:pic macro="[0]!Graphic4_Click">
      <xdr:nvPicPr>
        <xdr:cNvPr id="5" name="Graphic 4" descr="Basketball Hoop outline">
          <a:extLst>
            <a:ext uri="{FF2B5EF4-FFF2-40B4-BE49-F238E27FC236}">
              <a16:creationId xmlns:a16="http://schemas.microsoft.com/office/drawing/2014/main" id="{4E2867DD-0605-8516-CB6F-88C15F96BBE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893292" y="369747"/>
          <a:ext cx="914400" cy="914400"/>
        </a:xfrm>
        <a:prstGeom prst="rect">
          <a:avLst/>
        </a:prstGeom>
      </xdr:spPr>
    </xdr:pic>
    <xdr:clientData/>
  </xdr:twoCellAnchor>
  <xdr:oneCellAnchor>
    <xdr:from>
      <xdr:col>2</xdr:col>
      <xdr:colOff>667288</xdr:colOff>
      <xdr:row>0</xdr:row>
      <xdr:rowOff>236780</xdr:rowOff>
    </xdr:from>
    <xdr:ext cx="965777" cy="264560"/>
    <xdr:sp macro="" textlink="">
      <xdr:nvSpPr>
        <xdr:cNvPr id="3" name="TextBox 2">
          <a:extLst>
            <a:ext uri="{FF2B5EF4-FFF2-40B4-BE49-F238E27FC236}">
              <a16:creationId xmlns:a16="http://schemas.microsoft.com/office/drawing/2014/main" id="{ECA8A25E-89ED-FA6F-3346-331EF1BC9F88}"/>
            </a:ext>
          </a:extLst>
        </xdr:cNvPr>
        <xdr:cNvSpPr txBox="1"/>
      </xdr:nvSpPr>
      <xdr:spPr>
        <a:xfrm>
          <a:off x="7867542" y="236780"/>
          <a:ext cx="96577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t>Refresh Tasks</a:t>
          </a:r>
        </a:p>
      </xdr:txBody>
    </xdr:sp>
    <xdr:clientData/>
  </xdr:oneCellAnchor>
  <xdr:oneCellAnchor>
    <xdr:from>
      <xdr:col>2</xdr:col>
      <xdr:colOff>1712994</xdr:colOff>
      <xdr:row>0</xdr:row>
      <xdr:rowOff>270791</xdr:rowOff>
    </xdr:from>
    <xdr:ext cx="1177053" cy="264560"/>
    <xdr:sp macro="" textlink="">
      <xdr:nvSpPr>
        <xdr:cNvPr id="6" name="TextBox 5">
          <a:extLst>
            <a:ext uri="{FF2B5EF4-FFF2-40B4-BE49-F238E27FC236}">
              <a16:creationId xmlns:a16="http://schemas.microsoft.com/office/drawing/2014/main" id="{4E1ABCE6-E26C-41B6-A265-77592DF05576}"/>
            </a:ext>
          </a:extLst>
        </xdr:cNvPr>
        <xdr:cNvSpPr txBox="1"/>
      </xdr:nvSpPr>
      <xdr:spPr>
        <a:xfrm>
          <a:off x="8913248" y="270791"/>
          <a:ext cx="11770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t>Refresh Activities</a:t>
          </a:r>
        </a:p>
      </xdr:txBody>
    </xdr:sp>
    <xdr:clientData/>
  </xdr:oneCellAnchor>
  <xdr:oneCellAnchor>
    <xdr:from>
      <xdr:col>0</xdr:col>
      <xdr:colOff>161441</xdr:colOff>
      <xdr:row>9</xdr:row>
      <xdr:rowOff>236780</xdr:rowOff>
    </xdr:from>
    <xdr:ext cx="3260636" cy="264560"/>
    <xdr:sp macro="" textlink="">
      <xdr:nvSpPr>
        <xdr:cNvPr id="9" name="TextBox 8">
          <a:extLst>
            <a:ext uri="{FF2B5EF4-FFF2-40B4-BE49-F238E27FC236}">
              <a16:creationId xmlns:a16="http://schemas.microsoft.com/office/drawing/2014/main" id="{630CBFE9-A8A4-B261-5C8E-44F098C0CF96}"/>
            </a:ext>
          </a:extLst>
        </xdr:cNvPr>
        <xdr:cNvSpPr txBox="1"/>
      </xdr:nvSpPr>
      <xdr:spPr>
        <a:xfrm>
          <a:off x="161441" y="7135678"/>
          <a:ext cx="326063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t>Note*: to view comments, hover over cell with cursor</a:t>
          </a:r>
        </a:p>
      </xdr:txBody>
    </xdr:sp>
    <xdr:clientData/>
  </xdr:oneCellAnchor>
  <xdr:twoCellAnchor editAs="oneCell">
    <xdr:from>
      <xdr:col>3</xdr:col>
      <xdr:colOff>1808136</xdr:colOff>
      <xdr:row>0</xdr:row>
      <xdr:rowOff>53813</xdr:rowOff>
    </xdr:from>
    <xdr:to>
      <xdr:col>4</xdr:col>
      <xdr:colOff>64146</xdr:colOff>
      <xdr:row>0</xdr:row>
      <xdr:rowOff>968213</xdr:rowOff>
    </xdr:to>
    <xdr:pic macro="[0]!Graphic10_Click">
      <xdr:nvPicPr>
        <xdr:cNvPr id="11" name="Graphic 10" descr="Home outline">
          <a:extLst>
            <a:ext uri="{FF2B5EF4-FFF2-40B4-BE49-F238E27FC236}">
              <a16:creationId xmlns:a16="http://schemas.microsoft.com/office/drawing/2014/main" id="{1FBAC3A0-836B-A809-61A2-F2179F4EEA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666780" y="53813"/>
          <a:ext cx="914400" cy="914400"/>
        </a:xfrm>
        <a:prstGeom prst="rect">
          <a:avLst/>
        </a:prstGeom>
      </xdr:spPr>
    </xdr:pic>
    <xdr:clientData/>
  </xdr:twoCellAnchor>
  <xdr:oneCellAnchor>
    <xdr:from>
      <xdr:col>3</xdr:col>
      <xdr:colOff>1549830</xdr:colOff>
      <xdr:row>0</xdr:row>
      <xdr:rowOff>904067</xdr:rowOff>
    </xdr:from>
    <xdr:ext cx="1499000" cy="264560"/>
    <xdr:sp macro="" textlink="">
      <xdr:nvSpPr>
        <xdr:cNvPr id="12" name="TextBox 11">
          <a:extLst>
            <a:ext uri="{FF2B5EF4-FFF2-40B4-BE49-F238E27FC236}">
              <a16:creationId xmlns:a16="http://schemas.microsoft.com/office/drawing/2014/main" id="{CC04E632-51D6-9F77-8463-F3D24DB1543E}"/>
            </a:ext>
          </a:extLst>
        </xdr:cNvPr>
        <xdr:cNvSpPr txBox="1"/>
      </xdr:nvSpPr>
      <xdr:spPr>
        <a:xfrm>
          <a:off x="11408474" y="904067"/>
          <a:ext cx="1499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solidFill>
                <a:schemeClr val="bg1"/>
              </a:solidFill>
            </a:rPr>
            <a:t>click</a:t>
          </a:r>
          <a:r>
            <a:rPr lang="en-CA" sz="1100" kern="1200" baseline="0">
              <a:solidFill>
                <a:schemeClr val="bg1"/>
              </a:solidFill>
            </a:rPr>
            <a:t> to r</a:t>
          </a:r>
          <a:r>
            <a:rPr lang="en-CA" sz="1100" kern="1200">
              <a:solidFill>
                <a:schemeClr val="bg1"/>
              </a:solidFill>
            </a:rPr>
            <a:t>eturn to home</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2781463</xdr:colOff>
      <xdr:row>2</xdr:row>
      <xdr:rowOff>60996</xdr:rowOff>
    </xdr:from>
    <xdr:to>
      <xdr:col>6</xdr:col>
      <xdr:colOff>122228</xdr:colOff>
      <xdr:row>6</xdr:row>
      <xdr:rowOff>53578</xdr:rowOff>
    </xdr:to>
    <xdr:sp macro="[0]!Show_DailyForm" textlink="">
      <xdr:nvSpPr>
        <xdr:cNvPr id="4" name="Rectangle 1">
          <a:extLst>
            <a:ext uri="{FF2B5EF4-FFF2-40B4-BE49-F238E27FC236}">
              <a16:creationId xmlns:a16="http://schemas.microsoft.com/office/drawing/2014/main" id="{CDBC3238-7B5A-4B4D-87FB-2176996AD1D3}"/>
            </a:ext>
          </a:extLst>
        </xdr:cNvPr>
        <xdr:cNvSpPr/>
      </xdr:nvSpPr>
      <xdr:spPr>
        <a:xfrm>
          <a:off x="13514728" y="1780789"/>
          <a:ext cx="2623611" cy="1015637"/>
        </a:xfrm>
        <a:prstGeom prst="rect">
          <a:avLst/>
        </a:prstGeom>
        <a:solidFill>
          <a:srgbClr val="4A7F94"/>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0" kern="1200">
              <a:latin typeface="Franklin Gothic Book" panose="020B0503020102020204" pitchFamily="34" charset="0"/>
            </a:rPr>
            <a:t>Get Daily Task Breakdown</a:t>
          </a:r>
        </a:p>
      </xdr:txBody>
    </xdr:sp>
    <xdr:clientData/>
  </xdr:twoCellAnchor>
  <xdr:twoCellAnchor>
    <xdr:from>
      <xdr:col>3</xdr:col>
      <xdr:colOff>314239</xdr:colOff>
      <xdr:row>1</xdr:row>
      <xdr:rowOff>559915</xdr:rowOff>
    </xdr:from>
    <xdr:to>
      <xdr:col>3</xdr:col>
      <xdr:colOff>1101639</xdr:colOff>
      <xdr:row>18</xdr:row>
      <xdr:rowOff>139528</xdr:rowOff>
    </xdr:to>
    <xdr:sp macro="" textlink="">
      <xdr:nvSpPr>
        <xdr:cNvPr id="6" name="Down Arrow 4">
          <a:extLst>
            <a:ext uri="{FF2B5EF4-FFF2-40B4-BE49-F238E27FC236}">
              <a16:creationId xmlns:a16="http://schemas.microsoft.com/office/drawing/2014/main" id="{E894C463-1E83-4A0D-6794-916B1DEF31D0}"/>
            </a:ext>
          </a:extLst>
        </xdr:cNvPr>
        <xdr:cNvSpPr/>
      </xdr:nvSpPr>
      <xdr:spPr>
        <a:xfrm>
          <a:off x="8719408" y="1357956"/>
          <a:ext cx="787400" cy="4168346"/>
        </a:xfrm>
        <a:prstGeom prst="downArrow">
          <a:avLst/>
        </a:prstGeom>
        <a:solidFill>
          <a:srgbClr val="4A7F9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editAs="oneCell">
    <xdr:from>
      <xdr:col>3</xdr:col>
      <xdr:colOff>635000</xdr:colOff>
      <xdr:row>0</xdr:row>
      <xdr:rowOff>94074</xdr:rowOff>
    </xdr:from>
    <xdr:to>
      <xdr:col>3</xdr:col>
      <xdr:colOff>1549400</xdr:colOff>
      <xdr:row>0</xdr:row>
      <xdr:rowOff>1008474</xdr:rowOff>
    </xdr:to>
    <xdr:pic macro="[0]!Graphic2_Click">
      <xdr:nvPicPr>
        <xdr:cNvPr id="3" name="Graphic 2" descr="Home outline">
          <a:extLst>
            <a:ext uri="{FF2B5EF4-FFF2-40B4-BE49-F238E27FC236}">
              <a16:creationId xmlns:a16="http://schemas.microsoft.com/office/drawing/2014/main" id="{2CDA6669-E70D-A98A-356E-A9B3574219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124259" y="94074"/>
          <a:ext cx="914400" cy="914400"/>
        </a:xfrm>
        <a:prstGeom prst="rect">
          <a:avLst/>
        </a:prstGeom>
      </xdr:spPr>
    </xdr:pic>
    <xdr:clientData/>
  </xdr:twoCellAnchor>
  <xdr:oneCellAnchor>
    <xdr:from>
      <xdr:col>3</xdr:col>
      <xdr:colOff>376297</xdr:colOff>
      <xdr:row>0</xdr:row>
      <xdr:rowOff>952500</xdr:rowOff>
    </xdr:from>
    <xdr:ext cx="1499000" cy="264560"/>
    <xdr:sp macro="" textlink="">
      <xdr:nvSpPr>
        <xdr:cNvPr id="5" name="TextBox 4">
          <a:extLst>
            <a:ext uri="{FF2B5EF4-FFF2-40B4-BE49-F238E27FC236}">
              <a16:creationId xmlns:a16="http://schemas.microsoft.com/office/drawing/2014/main" id="{C4C76342-C1EE-BADE-2BDC-41ABD3BCD959}"/>
            </a:ext>
          </a:extLst>
        </xdr:cNvPr>
        <xdr:cNvSpPr txBox="1"/>
      </xdr:nvSpPr>
      <xdr:spPr>
        <a:xfrm>
          <a:off x="10865556" y="952500"/>
          <a:ext cx="1499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solidFill>
                <a:schemeClr val="bg1"/>
              </a:solidFill>
            </a:rPr>
            <a:t>click to return</a:t>
          </a:r>
          <a:r>
            <a:rPr lang="en-CA" sz="1100" kern="1200" baseline="0">
              <a:solidFill>
                <a:schemeClr val="bg1"/>
              </a:solidFill>
            </a:rPr>
            <a:t> to home</a:t>
          </a:r>
          <a:endParaRPr lang="en-CA" sz="1100" kern="1200">
            <a:solidFill>
              <a:schemeClr val="bg1"/>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4</xdr:col>
      <xdr:colOff>626645</xdr:colOff>
      <xdr:row>0</xdr:row>
      <xdr:rowOff>50132</xdr:rowOff>
    </xdr:from>
    <xdr:to>
      <xdr:col>6</xdr:col>
      <xdr:colOff>321177</xdr:colOff>
      <xdr:row>1</xdr:row>
      <xdr:rowOff>772361</xdr:rowOff>
    </xdr:to>
    <xdr:pic macro="[0]!GanttChart_Graphic2_Click">
      <xdr:nvPicPr>
        <xdr:cNvPr id="3" name="Graphic 2" descr="Home outline">
          <a:extLst>
            <a:ext uri="{FF2B5EF4-FFF2-40B4-BE49-F238E27FC236}">
              <a16:creationId xmlns:a16="http://schemas.microsoft.com/office/drawing/2014/main" id="{ABBE07C0-2245-7423-E4E2-2D6A64F091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177632" y="50132"/>
          <a:ext cx="914400" cy="914400"/>
        </a:xfrm>
        <a:prstGeom prst="rect">
          <a:avLst/>
        </a:prstGeom>
      </xdr:spPr>
    </xdr:pic>
    <xdr:clientData/>
  </xdr:twoCellAnchor>
  <xdr:oneCellAnchor>
    <xdr:from>
      <xdr:col>4</xdr:col>
      <xdr:colOff>317500</xdr:colOff>
      <xdr:row>1</xdr:row>
      <xdr:rowOff>701842</xdr:rowOff>
    </xdr:from>
    <xdr:ext cx="1499000" cy="264560"/>
    <xdr:sp macro="" textlink="">
      <xdr:nvSpPr>
        <xdr:cNvPr id="4" name="TextBox 3">
          <a:extLst>
            <a:ext uri="{FF2B5EF4-FFF2-40B4-BE49-F238E27FC236}">
              <a16:creationId xmlns:a16="http://schemas.microsoft.com/office/drawing/2014/main" id="{2520F6E2-64D5-C780-2F55-A1B6E7BC5213}"/>
            </a:ext>
          </a:extLst>
        </xdr:cNvPr>
        <xdr:cNvSpPr txBox="1"/>
      </xdr:nvSpPr>
      <xdr:spPr>
        <a:xfrm>
          <a:off x="3868487" y="894013"/>
          <a:ext cx="1499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solidFill>
                <a:schemeClr val="bg1"/>
              </a:solidFill>
            </a:rPr>
            <a:t>click</a:t>
          </a:r>
          <a:r>
            <a:rPr lang="en-CA" sz="1100" kern="1200" baseline="0">
              <a:solidFill>
                <a:schemeClr val="bg1"/>
              </a:solidFill>
            </a:rPr>
            <a:t> to return to home</a:t>
          </a:r>
          <a:endParaRPr lang="en-CA" sz="1100" kern="1200">
            <a:solidFill>
              <a:schemeClr val="bg1"/>
            </a:solidFill>
          </a:endParaRP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5</xdr:col>
      <xdr:colOff>254000</xdr:colOff>
      <xdr:row>2</xdr:row>
      <xdr:rowOff>31751</xdr:rowOff>
    </xdr:from>
    <xdr:to>
      <xdr:col>7</xdr:col>
      <xdr:colOff>292100</xdr:colOff>
      <xdr:row>9</xdr:row>
      <xdr:rowOff>19053</xdr:rowOff>
    </xdr:to>
    <mc:AlternateContent xmlns:mc="http://schemas.openxmlformats.org/markup-compatibility/2006" xmlns:a14="http://schemas.microsoft.com/office/drawing/2010/main">
      <mc:Choice Requires="a14">
        <xdr:graphicFrame macro="">
          <xdr:nvGraphicFramePr>
            <xdr:cNvPr id="2" name="Priority Level">
              <a:extLst>
                <a:ext uri="{FF2B5EF4-FFF2-40B4-BE49-F238E27FC236}">
                  <a16:creationId xmlns:a16="http://schemas.microsoft.com/office/drawing/2014/main" id="{A3348B93-ABF6-8FAA-4FCB-1043CDCC8D26}"/>
                </a:ext>
              </a:extLst>
            </xdr:cNvPr>
            <xdr:cNvGraphicFramePr/>
          </xdr:nvGraphicFramePr>
          <xdr:xfrm>
            <a:off x="0" y="0"/>
            <a:ext cx="0" cy="0"/>
          </xdr:xfrm>
          <a:graphic>
            <a:graphicData uri="http://schemas.microsoft.com/office/drawing/2010/slicer">
              <sle:slicer xmlns:sle="http://schemas.microsoft.com/office/drawing/2010/slicer" name="Priority Level"/>
            </a:graphicData>
          </a:graphic>
        </xdr:graphicFrame>
      </mc:Choice>
      <mc:Fallback xmlns="">
        <xdr:sp macro="" textlink="">
          <xdr:nvSpPr>
            <xdr:cNvPr id="0" name=""/>
            <xdr:cNvSpPr>
              <a:spLocks noTextEdit="1"/>
            </xdr:cNvSpPr>
          </xdr:nvSpPr>
          <xdr:spPr>
            <a:xfrm>
              <a:off x="6356458" y="397683"/>
              <a:ext cx="1835473" cy="126806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247650</xdr:colOff>
      <xdr:row>9</xdr:row>
      <xdr:rowOff>44451</xdr:rowOff>
    </xdr:from>
    <xdr:to>
      <xdr:col>7</xdr:col>
      <xdr:colOff>285750</xdr:colOff>
      <xdr:row>13</xdr:row>
      <xdr:rowOff>165101</xdr:rowOff>
    </xdr:to>
    <mc:AlternateContent xmlns:mc="http://schemas.openxmlformats.org/markup-compatibility/2006" xmlns:a14="http://schemas.microsoft.com/office/drawing/2010/main">
      <mc:Choice Requires="a14">
        <xdr:graphicFrame macro="">
          <xdr:nvGraphicFramePr>
            <xdr:cNvPr id="3" name="Progress">
              <a:extLst>
                <a:ext uri="{FF2B5EF4-FFF2-40B4-BE49-F238E27FC236}">
                  <a16:creationId xmlns:a16="http://schemas.microsoft.com/office/drawing/2014/main" id="{745BF63D-3804-DEE5-5D59-F3AD8F31D1F0}"/>
                </a:ext>
              </a:extLst>
            </xdr:cNvPr>
            <xdr:cNvGraphicFramePr/>
          </xdr:nvGraphicFramePr>
          <xdr:xfrm>
            <a:off x="0" y="0"/>
            <a:ext cx="0" cy="0"/>
          </xdr:xfrm>
          <a:graphic>
            <a:graphicData uri="http://schemas.microsoft.com/office/drawing/2010/slicer">
              <sle:slicer xmlns:sle="http://schemas.microsoft.com/office/drawing/2010/slicer" name="Progress"/>
            </a:graphicData>
          </a:graphic>
        </xdr:graphicFrame>
      </mc:Choice>
      <mc:Fallback xmlns="">
        <xdr:sp macro="" textlink="">
          <xdr:nvSpPr>
            <xdr:cNvPr id="0" name=""/>
            <xdr:cNvSpPr>
              <a:spLocks noTextEdit="1"/>
            </xdr:cNvSpPr>
          </xdr:nvSpPr>
          <xdr:spPr>
            <a:xfrm>
              <a:off x="6350108" y="1691146"/>
              <a:ext cx="1835473" cy="85251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650875</xdr:colOff>
      <xdr:row>2</xdr:row>
      <xdr:rowOff>47625</xdr:rowOff>
    </xdr:from>
    <xdr:to>
      <xdr:col>15</xdr:col>
      <xdr:colOff>206375</xdr:colOff>
      <xdr:row>17</xdr:row>
      <xdr:rowOff>28575</xdr:rowOff>
    </xdr:to>
    <xdr:graphicFrame macro="">
      <xdr:nvGraphicFramePr>
        <xdr:cNvPr id="5" name="Chart 4">
          <a:extLst>
            <a:ext uri="{FF2B5EF4-FFF2-40B4-BE49-F238E27FC236}">
              <a16:creationId xmlns:a16="http://schemas.microsoft.com/office/drawing/2014/main" id="{175F7DAD-BA61-5ECA-3C7B-0A714FFF89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659086</xdr:colOff>
      <xdr:row>18</xdr:row>
      <xdr:rowOff>79047</xdr:rowOff>
    </xdr:from>
    <xdr:to>
      <xdr:col>15</xdr:col>
      <xdr:colOff>194879</xdr:colOff>
      <xdr:row>33</xdr:row>
      <xdr:rowOff>30436</xdr:rowOff>
    </xdr:to>
    <xdr:graphicFrame macro="">
      <xdr:nvGraphicFramePr>
        <xdr:cNvPr id="6" name="Chart 5">
          <a:extLst>
            <a:ext uri="{FF2B5EF4-FFF2-40B4-BE49-F238E27FC236}">
              <a16:creationId xmlns:a16="http://schemas.microsoft.com/office/drawing/2014/main" id="{9857A61D-9009-28BC-B24A-6AED440E6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293607</xdr:colOff>
      <xdr:row>1</xdr:row>
      <xdr:rowOff>182428</xdr:rowOff>
    </xdr:from>
    <xdr:to>
      <xdr:col>22</xdr:col>
      <xdr:colOff>231130</xdr:colOff>
      <xdr:row>15</xdr:row>
      <xdr:rowOff>172903</xdr:rowOff>
    </xdr:to>
    <mc:AlternateContent xmlns:mc="http://schemas.openxmlformats.org/markup-compatibility/2006" xmlns:a14="http://schemas.microsoft.com/office/drawing/2010/main">
      <mc:Choice Requires="a14">
        <xdr:graphicFrame macro="">
          <xdr:nvGraphicFramePr>
            <xdr:cNvPr id="4" name="Due Date">
              <a:extLst>
                <a:ext uri="{FF2B5EF4-FFF2-40B4-BE49-F238E27FC236}">
                  <a16:creationId xmlns:a16="http://schemas.microsoft.com/office/drawing/2014/main" id="{2343EED4-4B64-1AAB-2DA5-F7F17857932F}"/>
                </a:ext>
              </a:extLst>
            </xdr:cNvPr>
            <xdr:cNvGraphicFramePr/>
          </xdr:nvGraphicFramePr>
          <xdr:xfrm>
            <a:off x="0" y="0"/>
            <a:ext cx="0" cy="0"/>
          </xdr:xfrm>
          <a:graphic>
            <a:graphicData uri="http://schemas.microsoft.com/office/drawing/2010/slicer">
              <sle:slicer xmlns:sle="http://schemas.microsoft.com/office/drawing/2010/slicer" name="Due Date"/>
            </a:graphicData>
          </a:graphic>
        </xdr:graphicFrame>
      </mc:Choice>
      <mc:Fallback xmlns="">
        <xdr:sp macro="" textlink="">
          <xdr:nvSpPr>
            <xdr:cNvPr id="0" name=""/>
            <xdr:cNvSpPr>
              <a:spLocks noTextEdit="1"/>
            </xdr:cNvSpPr>
          </xdr:nvSpPr>
          <xdr:spPr>
            <a:xfrm>
              <a:off x="17051149" y="365394"/>
              <a:ext cx="1917862" cy="255200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2261742</xdr:colOff>
      <xdr:row>0</xdr:row>
      <xdr:rowOff>0</xdr:rowOff>
    </xdr:from>
    <xdr:to>
      <xdr:col>0</xdr:col>
      <xdr:colOff>2853933</xdr:colOff>
      <xdr:row>0</xdr:row>
      <xdr:rowOff>592191</xdr:rowOff>
    </xdr:to>
    <xdr:pic macro="[0]!Graphic7_Click">
      <xdr:nvPicPr>
        <xdr:cNvPr id="8" name="Graphic 7" descr="Home outline">
          <a:extLst>
            <a:ext uri="{FF2B5EF4-FFF2-40B4-BE49-F238E27FC236}">
              <a16:creationId xmlns:a16="http://schemas.microsoft.com/office/drawing/2014/main" id="{21B337A8-52FA-D91B-BE86-5C293D95A4E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261742" y="0"/>
          <a:ext cx="592191" cy="592191"/>
        </a:xfrm>
        <a:prstGeom prst="rect">
          <a:avLst/>
        </a:prstGeom>
      </xdr:spPr>
    </xdr:pic>
    <xdr:clientData/>
  </xdr:twoCellAnchor>
  <xdr:oneCellAnchor>
    <xdr:from>
      <xdr:col>0</xdr:col>
      <xdr:colOff>1883596</xdr:colOff>
      <xdr:row>0</xdr:row>
      <xdr:rowOff>542247</xdr:rowOff>
    </xdr:from>
    <xdr:ext cx="1499000" cy="264560"/>
    <xdr:sp macro="" textlink="">
      <xdr:nvSpPr>
        <xdr:cNvPr id="9" name="TextBox 8">
          <a:extLst>
            <a:ext uri="{FF2B5EF4-FFF2-40B4-BE49-F238E27FC236}">
              <a16:creationId xmlns:a16="http://schemas.microsoft.com/office/drawing/2014/main" id="{053629A5-5E08-1E9C-2444-3E25D583052B}"/>
            </a:ext>
          </a:extLst>
        </xdr:cNvPr>
        <xdr:cNvSpPr txBox="1"/>
      </xdr:nvSpPr>
      <xdr:spPr>
        <a:xfrm>
          <a:off x="1883596" y="542247"/>
          <a:ext cx="1499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100" kern="1200">
              <a:solidFill>
                <a:schemeClr val="bg1"/>
              </a:solidFill>
            </a:rPr>
            <a:t>click to return to home</a:t>
          </a: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cy Zhou" refreshedDate="45629.940019097223" createdVersion="8" refreshedVersion="8" minRefreshableVersion="3" recordCount="5" xr:uid="{AA16774E-CD42-40C2-9502-0D68164673B3}">
  <cacheSource type="worksheet">
    <worksheetSource name="InputTable"/>
  </cacheSource>
  <cacheFields count="8">
    <cacheField name="Name" numFmtId="0">
      <sharedItems count="9">
        <s v="Equilibruim"/>
        <s v="Quiz 7"/>
        <s v="Individual"/>
        <s v="Quiz 8"/>
        <s v="Python Assignment"/>
        <s v="Hw 5" u="1"/>
        <s v="d" u="1"/>
        <s v="Gelking" u="1"/>
        <s v="ddd" u="1"/>
      </sharedItems>
    </cacheField>
    <cacheField name="Class" numFmtId="0">
      <sharedItems count="6">
        <s v="Chem"/>
        <s v="MSE 121"/>
        <s v="MSE 100"/>
        <s v="Math 115"/>
        <s v="d" u="1"/>
        <s v="Smucker" u="1"/>
      </sharedItems>
    </cacheField>
    <cacheField name="Type" numFmtId="0">
      <sharedItems count="3">
        <s v="Assignment"/>
        <s v="Test"/>
        <s v="Project"/>
      </sharedItems>
    </cacheField>
    <cacheField name="Start Date" numFmtId="165">
      <sharedItems containsSemiMixedTypes="0" containsNonDate="0" containsDate="1" containsString="0" minDate="2024-09-02T00:00:00" maxDate="2024-11-28T00:00:00" count="6">
        <d v="2024-11-18T00:00:00"/>
        <d v="2024-11-24T00:00:00"/>
        <d v="2024-11-13T00:00:00"/>
        <d v="2024-11-27T00:00:00"/>
        <d v="2024-09-02T00:00:00"/>
        <d v="2024-11-20T00:00:00" u="1"/>
      </sharedItems>
    </cacheField>
    <cacheField name="End Date" numFmtId="165">
      <sharedItems containsSemiMixedTypes="0" containsNonDate="0" containsDate="1" containsString="0" minDate="2024-09-10T00:00:00" maxDate="2024-12-21T00:00:00" count="9">
        <d v="2024-12-20T00:00:00"/>
        <d v="2024-12-03T00:00:00"/>
        <d v="2024-12-07T00:00:00"/>
        <d v="2024-12-05T00:00:00"/>
        <d v="2024-09-10T00:00:00"/>
        <d v="2024-11-23T00:00:00" u="1"/>
        <d v="2024-11-27T00:00:00" u="1"/>
        <d v="2024-11-18T00:00:00" u="1"/>
        <d v="2024-11-30T00:00:00" u="1"/>
      </sharedItems>
    </cacheField>
    <cacheField name="Priority Level" numFmtId="0">
      <sharedItems count="3">
        <s v="Medium"/>
        <s v="Low"/>
        <s v="High"/>
      </sharedItems>
    </cacheField>
    <cacheField name="Progress" numFmtId="9">
      <sharedItems containsSemiMixedTypes="0" containsString="0" containsNumber="1" minValue="0" maxValue="0.5" count="2">
        <n v="0.5"/>
        <n v="0"/>
      </sharedItems>
    </cacheField>
    <cacheField name="Projected Hours Required (Study or Work on Task)" numFmtId="0">
      <sharedItems containsSemiMixedTypes="0" containsString="0" containsNumber="1" containsInteger="1" minValue="2" maxValue="4"/>
    </cacheField>
  </cacheFields>
  <extLst>
    <ext xmlns:x14="http://schemas.microsoft.com/office/spreadsheetml/2009/9/main" uri="{725AE2AE-9491-48be-B2B4-4EB974FC3084}">
      <x14:pivotCacheDefinition pivotCacheId="161464377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cy Zhou" refreshedDate="45629.940100925924" createdVersion="8" refreshedVersion="8" minRefreshableVersion="3" recordCount="164" xr:uid="{BEB41E01-24CE-4723-979C-B3A1F12EE528}">
  <cacheSource type="worksheet">
    <worksheetSource ref="A2:C1048576" sheet="Data Processing"/>
  </cacheSource>
  <cacheFields count="3">
    <cacheField name="Task" numFmtId="0">
      <sharedItems containsBlank="1" count="5">
        <s v="Quiz 7"/>
        <s v="Quiz 8"/>
        <m/>
        <s v="Individual" u="1"/>
        <s v="Equilibruim" u="1"/>
      </sharedItems>
    </cacheField>
    <cacheField name="Recommended Study Hours" numFmtId="0">
      <sharedItems containsString="0" containsBlank="1" containsNumber="1" containsInteger="1" minValue="1" maxValue="3"/>
    </cacheField>
    <cacheField name="Due Date" numFmtId="0">
      <sharedItems containsNonDate="0" containsDate="1" containsString="0" containsBlank="1" minDate="2024-12-03T00:00:00" maxDate="2024-12-21T00:00:00" count="5">
        <d v="2024-12-03T00:00:00"/>
        <d v="2024-12-05T00:00:00"/>
        <m/>
        <d v="2024-12-07T00:00:00" u="1"/>
        <d v="2024-12-20T00:00:00" u="1"/>
      </sharedItems>
    </cacheField>
  </cacheFields>
  <extLst>
    <ext xmlns:x14="http://schemas.microsoft.com/office/spreadsheetml/2009/9/main" uri="{725AE2AE-9491-48be-B2B4-4EB974FC3084}">
      <x14:pivotCacheDefinition pivotCacheId="2256955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x v="0"/>
    <x v="0"/>
    <x v="0"/>
    <x v="0"/>
    <n v="3"/>
  </r>
  <r>
    <x v="1"/>
    <x v="1"/>
    <x v="1"/>
    <x v="1"/>
    <x v="1"/>
    <x v="1"/>
    <x v="1"/>
    <n v="3"/>
  </r>
  <r>
    <x v="2"/>
    <x v="2"/>
    <x v="2"/>
    <x v="2"/>
    <x v="2"/>
    <x v="2"/>
    <x v="1"/>
    <n v="3"/>
  </r>
  <r>
    <x v="3"/>
    <x v="1"/>
    <x v="1"/>
    <x v="3"/>
    <x v="3"/>
    <x v="1"/>
    <x v="0"/>
    <n v="4"/>
  </r>
  <r>
    <x v="4"/>
    <x v="3"/>
    <x v="0"/>
    <x v="4"/>
    <x v="4"/>
    <x v="0"/>
    <x v="1"/>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4">
  <r>
    <x v="0"/>
    <n v="3"/>
    <x v="0"/>
  </r>
  <r>
    <x v="1"/>
    <n v="1"/>
    <x v="1"/>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r>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903AE6-7BC9-4C59-88EB-8EA42025792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E17" firstHeaderRow="1" firstDataRow="2" firstDataCol="1"/>
  <pivotFields count="8">
    <pivotField axis="axisRow" showAll="0">
      <items count="10">
        <item sd="0" m="1" x="6"/>
        <item sd="0" m="1" x="8"/>
        <item sd="0" m="1" x="7"/>
        <item sd="0" x="0"/>
        <item sd="0" m="1" x="5"/>
        <item x="2"/>
        <item sd="0" x="3"/>
        <item sd="0" x="1"/>
        <item x="4"/>
        <item t="default" sd="0"/>
      </items>
    </pivotField>
    <pivotField axis="axisRow" showAll="0">
      <items count="7">
        <item sd="0" m="1" x="4"/>
        <item sd="0" m="1" x="5"/>
        <item x="0"/>
        <item x="1"/>
        <item x="2"/>
        <item x="3"/>
        <item t="default" sd="0"/>
      </items>
    </pivotField>
    <pivotField axis="axisCol" showAll="0">
      <items count="4">
        <item x="0"/>
        <item x="2"/>
        <item x="1"/>
        <item t="default"/>
      </items>
    </pivotField>
    <pivotField axis="axisRow" numFmtId="165" showAll="0">
      <items count="7">
        <item sd="0" x="2"/>
        <item sd="0" m="1" x="5"/>
        <item sd="0" x="1"/>
        <item sd="0" x="3"/>
        <item x="0"/>
        <item x="4"/>
        <item t="default" sd="0"/>
      </items>
    </pivotField>
    <pivotField axis="axisRow" numFmtId="165" showAll="0">
      <items count="10">
        <item m="1" x="7"/>
        <item m="1" x="5"/>
        <item m="1" x="6"/>
        <item m="1" x="8"/>
        <item x="0"/>
        <item x="1"/>
        <item x="2"/>
        <item x="3"/>
        <item x="4"/>
        <item t="default"/>
      </items>
    </pivotField>
    <pivotField showAll="0">
      <items count="4">
        <item x="2"/>
        <item x="1"/>
        <item x="0"/>
        <item t="default"/>
      </items>
    </pivotField>
    <pivotField numFmtId="9" showAll="0">
      <items count="3">
        <item x="1"/>
        <item x="0"/>
        <item t="default"/>
      </items>
    </pivotField>
    <pivotField dataField="1" showAll="0"/>
  </pivotFields>
  <rowFields count="4">
    <field x="1"/>
    <field x="0"/>
    <field x="3"/>
    <field x="4"/>
  </rowFields>
  <rowItems count="13">
    <i>
      <x v="2"/>
    </i>
    <i r="1">
      <x v="3"/>
    </i>
    <i>
      <x v="3"/>
    </i>
    <i r="1">
      <x v="6"/>
    </i>
    <i r="1">
      <x v="7"/>
    </i>
    <i>
      <x v="4"/>
    </i>
    <i r="1">
      <x v="5"/>
    </i>
    <i r="2">
      <x/>
    </i>
    <i>
      <x v="5"/>
    </i>
    <i r="1">
      <x v="8"/>
    </i>
    <i r="2">
      <x v="5"/>
    </i>
    <i r="3">
      <x v="8"/>
    </i>
    <i t="grand">
      <x/>
    </i>
  </rowItems>
  <colFields count="1">
    <field x="2"/>
  </colFields>
  <colItems count="4">
    <i>
      <x/>
    </i>
    <i>
      <x v="1"/>
    </i>
    <i>
      <x v="2"/>
    </i>
    <i t="grand">
      <x/>
    </i>
  </colItems>
  <dataFields count="1">
    <dataField name="Sum of Projected Hours Required (Study or Work on Task)" fld="7" baseField="1" baseItem="2"/>
  </dataFields>
  <formats count="22">
    <format dxfId="21">
      <pivotArea type="all" dataOnly="0" outline="0" fieldPosition="0"/>
    </format>
    <format dxfId="20">
      <pivotArea outline="0" collapsedLevelsAreSubtotals="1" fieldPosition="0"/>
    </format>
    <format dxfId="19">
      <pivotArea type="origin" dataOnly="0" labelOnly="1" outline="0" fieldPosition="0"/>
    </format>
    <format dxfId="18">
      <pivotArea field="2" type="button" dataOnly="0" labelOnly="1" outline="0" axis="axisCol" fieldPosition="0"/>
    </format>
    <format dxfId="17">
      <pivotArea type="topRight" dataOnly="0" labelOnly="1" outline="0" fieldPosition="0"/>
    </format>
    <format dxfId="16">
      <pivotArea field="1" type="button" dataOnly="0" labelOnly="1" outline="0" axis="axisRow" fieldPosition="0"/>
    </format>
    <format dxfId="15">
      <pivotArea dataOnly="0" labelOnly="1" fieldPosition="0">
        <references count="1">
          <reference field="1" count="0"/>
        </references>
      </pivotArea>
    </format>
    <format dxfId="14">
      <pivotArea dataOnly="0" labelOnly="1" grandRow="1" outline="0" fieldPosition="0"/>
    </format>
    <format dxfId="13">
      <pivotArea dataOnly="0" labelOnly="1" fieldPosition="0">
        <references count="2">
          <reference field="0" count="1">
            <x v="3"/>
          </reference>
          <reference field="1" count="1" selected="0">
            <x v="2"/>
          </reference>
        </references>
      </pivotArea>
    </format>
    <format dxfId="12">
      <pivotArea dataOnly="0" labelOnly="1" fieldPosition="0">
        <references count="2">
          <reference field="0" count="2">
            <x v="6"/>
            <x v="7"/>
          </reference>
          <reference field="1" count="1" selected="0">
            <x v="3"/>
          </reference>
        </references>
      </pivotArea>
    </format>
    <format dxfId="11">
      <pivotArea dataOnly="0" labelOnly="1" fieldPosition="0">
        <references count="2">
          <reference field="0" count="1">
            <x v="5"/>
          </reference>
          <reference field="1" count="1" selected="0">
            <x v="4"/>
          </reference>
        </references>
      </pivotArea>
    </format>
    <format dxfId="10">
      <pivotArea dataOnly="0" labelOnly="1" fieldPosition="0">
        <references count="3">
          <reference field="0" count="1" selected="0">
            <x v="5"/>
          </reference>
          <reference field="1" count="1" selected="0">
            <x v="4"/>
          </reference>
          <reference field="3" count="1">
            <x v="0"/>
          </reference>
        </references>
      </pivotArea>
    </format>
    <format dxfId="9">
      <pivotArea dataOnly="0" labelOnly="1" fieldPosition="0">
        <references count="1">
          <reference field="2" count="0"/>
        </references>
      </pivotArea>
    </format>
    <format dxfId="8">
      <pivotArea dataOnly="0" labelOnly="1" grandCol="1" outline="0" fieldPosition="0"/>
    </format>
    <format dxfId="7">
      <pivotArea type="origin" dataOnly="0" labelOnly="1" outline="0" fieldPosition="0"/>
    </format>
    <format dxfId="6">
      <pivotArea field="2" type="button" dataOnly="0" labelOnly="1" outline="0" axis="axisCol" fieldPosition="0"/>
    </format>
    <format dxfId="5">
      <pivotArea type="topRight" dataOnly="0" labelOnly="1" outline="0" fieldPosition="0"/>
    </format>
    <format dxfId="4">
      <pivotArea field="1" type="button" dataOnly="0" labelOnly="1" outline="0" axis="axisRow" fieldPosition="0"/>
    </format>
    <format dxfId="3">
      <pivotArea dataOnly="0" labelOnly="1" fieldPosition="0">
        <references count="1">
          <reference field="2" count="0"/>
        </references>
      </pivotArea>
    </format>
    <format dxfId="2">
      <pivotArea dataOnly="0" labelOnly="1" grandCol="1" outline="0" fieldPosition="0"/>
    </format>
    <format dxfId="1">
      <pivotArea grandRow="1" outline="0" collapsedLevelsAreSubtotals="1" fieldPosition="0"/>
    </format>
    <format dxfId="0">
      <pivotArea dataOnly="0" labelOnly="1" grandRow="1" outline="0" fieldPosition="0"/>
    </format>
  </formats>
  <chartFormats count="6">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20" format="0" series="1">
      <pivotArea type="data" outline="0" fieldPosition="0">
        <references count="2">
          <reference field="4294967294" count="1" selected="0">
            <x v="0"/>
          </reference>
          <reference field="2" count="1" selected="0">
            <x v="0"/>
          </reference>
        </references>
      </pivotArea>
    </chartFormat>
    <chartFormat chart="20" format="1" series="1">
      <pivotArea type="data" outline="0" fieldPosition="0">
        <references count="2">
          <reference field="4294967294" count="1" selected="0">
            <x v="0"/>
          </reference>
          <reference field="2" count="1" selected="0">
            <x v="1"/>
          </reference>
        </references>
      </pivotArea>
    </chartFormat>
    <chartFormat chart="20" format="2"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D4F70A-0B63-4666-8471-D623EACE8E50}"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Q3:R7" firstHeaderRow="1" firstDataRow="1" firstDataCol="1"/>
  <pivotFields count="3">
    <pivotField axis="axisRow" showAll="0">
      <items count="6">
        <item m="1" x="4"/>
        <item m="1" x="3"/>
        <item x="0"/>
        <item x="1"/>
        <item x="2"/>
        <item t="default"/>
      </items>
    </pivotField>
    <pivotField dataField="1" showAll="0"/>
    <pivotField numFmtId="14" showAll="0">
      <items count="6">
        <item x="0"/>
        <item x="1"/>
        <item m="1" x="3"/>
        <item m="1" x="4"/>
        <item x="2"/>
        <item t="default"/>
      </items>
    </pivotField>
  </pivotFields>
  <rowFields count="1">
    <field x="0"/>
  </rowFields>
  <rowItems count="4">
    <i>
      <x v="2"/>
    </i>
    <i>
      <x v="3"/>
    </i>
    <i>
      <x v="4"/>
    </i>
    <i t="grand">
      <x/>
    </i>
  </rowItems>
  <colItems count="1">
    <i/>
  </colItems>
  <dataFields count="1">
    <dataField name="Sum of Recommended Study Hours" fld="1" baseField="0" baseItem="0"/>
  </dataFields>
  <formats count="9">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fieldPosition="0">
        <references count="1">
          <reference field="0" count="0"/>
        </references>
      </pivotArea>
    </format>
    <format dxfId="26">
      <pivotArea dataOnly="0" labelOnly="1" grandRow="1" outline="0" fieldPosition="0"/>
    </format>
    <format dxfId="25">
      <pivotArea dataOnly="0" labelOnly="1" outline="0" axis="axisValues" fieldPosition="0"/>
    </format>
    <format dxfId="24">
      <pivotArea dataOnly="0" grandRow="1" axis="axisRow" fieldPosition="0"/>
    </format>
    <format dxfId="23">
      <pivotArea field="0" type="button" dataOnly="0" labelOnly="1" outline="0" axis="axisRow" fieldPosition="0"/>
    </format>
    <format dxfId="22">
      <pivotArea dataOnly="0" labelOnly="1" outline="0" axis="axisValues" fieldPosition="0"/>
    </format>
  </formats>
  <chartFormats count="11">
    <chartFormat chart="0" format="12" series="1">
      <pivotArea type="data" outline="0" fieldPosition="0">
        <references count="2">
          <reference field="4294967294" count="1" selected="0">
            <x v="0"/>
          </reference>
          <reference field="0" count="1" selected="0">
            <x v="0"/>
          </reference>
        </references>
      </pivotArea>
    </chartFormat>
    <chartFormat chart="0" format="13" series="1">
      <pivotArea type="data" outline="0" fieldPosition="0">
        <references count="2">
          <reference field="4294967294" count="1" selected="0">
            <x v="0"/>
          </reference>
          <reference field="0" count="1" selected="0">
            <x v="1"/>
          </reference>
        </references>
      </pivotArea>
    </chartFormat>
    <chartFormat chart="0" format="14" series="1">
      <pivotArea type="data" outline="0" fieldPosition="0">
        <references count="2">
          <reference field="4294967294" count="1" selected="0">
            <x v="0"/>
          </reference>
          <reference field="0" count="1" selected="0">
            <x v="2"/>
          </reference>
        </references>
      </pivotArea>
    </chartFormat>
    <chartFormat chart="0" format="15" series="1">
      <pivotArea type="data" outline="0" fieldPosition="0">
        <references count="2">
          <reference field="4294967294" count="1" selected="0">
            <x v="0"/>
          </reference>
          <reference field="0" count="1" selected="0">
            <x v="3"/>
          </reference>
        </references>
      </pivotArea>
    </chartFormat>
    <chartFormat chart="0" format="16" series="1">
      <pivotArea type="data" outline="0" fieldPosition="0">
        <references count="2">
          <reference field="4294967294" count="1" selected="0">
            <x v="0"/>
          </reference>
          <reference field="0" count="1" selected="0">
            <x v="4"/>
          </reference>
        </references>
      </pivotArea>
    </chartFormat>
    <chartFormat chart="0" format="17"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0" count="1" selected="0">
            <x v="0"/>
          </reference>
        </references>
      </pivotArea>
    </chartFormat>
    <chartFormat chart="0" format="23">
      <pivotArea type="data" outline="0" fieldPosition="0">
        <references count="2">
          <reference field="4294967294" count="1" selected="0">
            <x v="0"/>
          </reference>
          <reference field="0" count="1" selected="0">
            <x v="1"/>
          </reference>
        </references>
      </pivotArea>
    </chartFormat>
    <chartFormat chart="0" format="24">
      <pivotArea type="data" outline="0" fieldPosition="0">
        <references count="2">
          <reference field="4294967294" count="1" selected="0">
            <x v="0"/>
          </reference>
          <reference field="0" count="1" selected="0">
            <x v="2"/>
          </reference>
        </references>
      </pivotArea>
    </chartFormat>
    <chartFormat chart="0" format="25">
      <pivotArea type="data" outline="0" fieldPosition="0">
        <references count="2">
          <reference field="4294967294" count="1" selected="0">
            <x v="0"/>
          </reference>
          <reference field="0" count="1" selected="0">
            <x v="3"/>
          </reference>
        </references>
      </pivotArea>
    </chartFormat>
    <chartFormat chart="0" format="26">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_Level" xr10:uid="{AA84650C-7C04-4DDF-993D-8538A72488F7}" sourceName="Priority Level">
  <pivotTables>
    <pivotTable tabId="19" name="PivotTable1"/>
  </pivotTables>
  <data>
    <tabular pivotCacheId="1614643774">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gress" xr10:uid="{56CA45B5-5C70-4D24-899A-D6FA9844C3AB}" sourceName="Progress">
  <pivotTables>
    <pivotTable tabId="19" name="PivotTable1"/>
  </pivotTables>
  <data>
    <tabular pivotCacheId="161464377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e_Date" xr10:uid="{EED9A2E0-3156-431B-971F-E46014CED5CE}" sourceName="Due Date">
  <pivotTables>
    <pivotTable tabId="19" name="PivotTable3"/>
  </pivotTables>
  <data>
    <tabular pivotCacheId="225695584">
      <items count="5">
        <i x="0" s="1"/>
        <i x="1" s="1"/>
        <i x="3" s="1" nd="1"/>
        <i x="4"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Level" xr10:uid="{3EED4CC5-AF19-4560-B481-CD1DB99F462B}" cache="Slicer_Priority_Level" caption="Priority Level" rowHeight="241300"/>
  <slicer name="Progress" xr10:uid="{03C021F0-ECB9-4CFC-8DFE-19F460856207}" cache="Slicer_Progress" caption="Progress" rowHeight="241300"/>
  <slicer name="Due Date" xr10:uid="{5C7509C2-50C4-4CE9-ACE2-31ADE1AEBB9C}" cache="Slicer_Due_Date" caption="Due Da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CED413-DEAD-47F7-9BAC-4A0BCE0E6E11}" name="InputTable" displayName="InputTable" ref="B4:I9" totalsRowShown="0" headerRowDxfId="78" dataDxfId="76" headerRowBorderDxfId="77">
  <autoFilter ref="B4:I9" xr:uid="{6B793049-B570-46F7-8F37-A54A592251A0}"/>
  <tableColumns count="8">
    <tableColumn id="1" xr3:uid="{54B5A075-13B8-420A-925E-367FB61208D1}" name="Name" dataDxfId="75"/>
    <tableColumn id="2" xr3:uid="{77C2BDC3-3320-46F4-933C-D49851C58C25}" name="Class" dataDxfId="74"/>
    <tableColumn id="7" xr3:uid="{1625D570-D2C7-4066-B0D1-75E8C8E92036}" name="Type" dataDxfId="73"/>
    <tableColumn id="3" xr3:uid="{59CB379E-1854-4E9B-8EEC-DBE068D158F4}" name="Start Date" dataDxfId="72"/>
    <tableColumn id="4" xr3:uid="{CFF8CF12-CFC2-4E5A-A84E-68B58381532F}" name="End Date" dataDxfId="71"/>
    <tableColumn id="5" xr3:uid="{D25F4E92-771A-4F1A-99D1-A16A4E1340A7}" name="Priority Level" dataDxfId="70"/>
    <tableColumn id="9" xr3:uid="{AD94BBF7-8E91-4477-BAB7-A72AC91DC58E}" name="Progress" dataDxfId="69"/>
    <tableColumn id="6" xr3:uid="{6DE42B4A-A3DD-442B-B6C9-ADFEC12E976F}" name="Projected Hours Required (Study or Work on Task)"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6843078-3095-48FD-9415-F0568D2B33CA}" name="QuotesTable" displayName="QuotesTable" ref="A1:B95" totalsRowShown="0" headerRowDxfId="67" dataDxfId="66">
  <autoFilter ref="A1:B95" xr:uid="{36843078-3095-48FD-9415-F0568D2B33CA}"/>
  <tableColumns count="2">
    <tableColumn id="1" xr3:uid="{B482BC75-264E-433D-8FB4-05326BA5B8DE}" name="Number" dataDxfId="65"/>
    <tableColumn id="2" xr3:uid="{F17C81D9-A441-402D-B00A-BBB2EF151C63}" name="Quote" dataDxfId="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149F9E-E3FD-48CF-BEF8-297839713DEA}" name="Table25" displayName="Table25" ref="B4:D5" totalsRowShown="0" headerRowDxfId="63" dataDxfId="61" headerRowBorderDxfId="62" tableBorderDxfId="60">
  <autoFilter ref="B4:D5" xr:uid="{A66B1D56-18BF-47D4-A7FE-376C0C7DC3F8}"/>
  <tableColumns count="3">
    <tableColumn id="1" xr3:uid="{0B441AC0-D041-4136-86AB-CE053E9776C6}" name="Degree Level" dataDxfId="59"/>
    <tableColumn id="2" xr3:uid="{E7218242-1AB4-4E72-A9BD-CB62C16E335A}" name="Current Year" dataDxfId="58"/>
    <tableColumn id="3" xr3:uid="{722A78D3-4CFE-4A0B-BEE9-9C8B5A6FEAA5}" name="Program" dataDxfId="5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5A7753-9165-4FE9-B232-A4B190E9E4D1}" name="Table8" displayName="Table8" ref="F4:G5" totalsRowShown="0" headerRowDxfId="56" dataDxfId="54" headerRowBorderDxfId="55" tableBorderDxfId="53" totalsRowBorderDxfId="52">
  <autoFilter ref="F4:G5" xr:uid="{689D66FF-CFC1-4540-86DD-64D3F6F19AE1}"/>
  <tableColumns count="2">
    <tableColumn id="1" xr3:uid="{417700A5-4C43-45FD-9642-E04A5672EF36}" name="Commuter" dataDxfId="51"/>
    <tableColumn id="2" xr3:uid="{9487E3A2-0910-405D-98A0-F5090BD16B25}" name="Length of Commute" dataDxfId="5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FD7873-C6E0-4449-952C-927E2DAA3464}" name="Table11" displayName="Table11" ref="J4:L7" totalsRowShown="0" headerRowDxfId="49" dataDxfId="47" headerRowBorderDxfId="48" tableBorderDxfId="46">
  <autoFilter ref="J4:L7" xr:uid="{4986D6AB-0A76-4C3F-8267-0F8C77E3D8E5}"/>
  <tableColumns count="3">
    <tableColumn id="1" xr3:uid="{8B0E91F2-9DA8-4B3E-B1FD-695AE17E86A3}" name="Activity Type" dataDxfId="45"/>
    <tableColumn id="2" xr3:uid="{C8B2DDD9-4A11-4B42-887B-EACFA2A9BFA8}" name="Average Time Spent Per Day (Hours)" dataDxfId="44"/>
    <tableColumn id="3" xr3:uid="{4F132F46-D7E4-4096-BA35-0E3ADB477C4A}" name="Priority Level"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C46AD1-D99B-4B5A-A566-E1A1B8304EE0}" name="Table12" displayName="Table12" ref="N4:R5" totalsRowShown="0" headerRowDxfId="42" dataDxfId="40" headerRowBorderDxfId="41" tableBorderDxfId="39" totalsRowBorderDxfId="38">
  <autoFilter ref="N4:R5" xr:uid="{DEDF3D22-023D-478C-BCA2-3B9726688FBD}"/>
  <tableColumns count="5">
    <tableColumn id="1" xr3:uid="{A5CDF3C6-E05F-4537-8DC1-D3B08F7C302C}" name="Monday" dataDxfId="37"/>
    <tableColumn id="2" xr3:uid="{2F040A03-F292-4CE1-9863-0F06909C869F}" name="Tuesday" dataDxfId="36"/>
    <tableColumn id="3" xr3:uid="{4003C2B8-3161-4F21-BAA9-AC9E5DC0DD72}" name="Wednesday" dataDxfId="35"/>
    <tableColumn id="4" xr3:uid="{0BCAA5C2-3758-4C5A-B73C-76251C2789B9}" name="Thursday" dataDxfId="34"/>
    <tableColumn id="5" xr3:uid="{BF6C73FF-912A-44FB-9421-CF097E161984}" name="Friday" dataDxfId="33"/>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F50AF-38B2-493B-87F3-E914EB9F0524}">
  <sheetPr codeName="Sheet2"/>
  <dimension ref="A1:N14"/>
  <sheetViews>
    <sheetView tabSelected="1" workbookViewId="0">
      <selection activeCell="G15" sqref="G15"/>
    </sheetView>
  </sheetViews>
  <sheetFormatPr defaultColWidth="8.6640625" defaultRowHeight="14.25" x14ac:dyDescent="0.45"/>
  <cols>
    <col min="1" max="1" width="8.6640625" style="2"/>
    <col min="2" max="2" width="16.46484375" style="2" customWidth="1"/>
    <col min="3" max="16384" width="8.6640625" style="2"/>
  </cols>
  <sheetData>
    <row r="1" spans="1:14" ht="63" x14ac:dyDescent="0.45">
      <c r="A1" s="62" t="s">
        <v>0</v>
      </c>
      <c r="B1" s="62"/>
      <c r="C1" s="62"/>
      <c r="D1" s="62"/>
      <c r="E1" s="62"/>
      <c r="F1" s="62"/>
      <c r="G1" s="62"/>
      <c r="H1" s="62"/>
      <c r="I1" s="62"/>
      <c r="J1" s="62"/>
      <c r="K1" s="62"/>
      <c r="L1" s="62"/>
      <c r="M1" s="62"/>
      <c r="N1" s="62"/>
    </row>
    <row r="14" spans="1:14" ht="14.65" x14ac:dyDescent="0.5">
      <c r="I14" s="22" t="s">
        <v>1</v>
      </c>
    </row>
  </sheetData>
  <mergeCells count="1">
    <mergeCell ref="A1:N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83878-BE8A-46CA-8535-98EB27137A91}">
  <sheetPr codeName="Sheet3"/>
  <dimension ref="A1:AC9"/>
  <sheetViews>
    <sheetView workbookViewId="0">
      <selection activeCell="P10" sqref="P10"/>
    </sheetView>
  </sheetViews>
  <sheetFormatPr defaultColWidth="9.1328125" defaultRowHeight="14.25" x14ac:dyDescent="0.45"/>
  <cols>
    <col min="1" max="1" width="3.1328125" style="2" customWidth="1"/>
    <col min="2" max="2" width="13.796875" style="2" bestFit="1" customWidth="1"/>
    <col min="3" max="3" width="10.1328125" style="2" bestFit="1" customWidth="1"/>
    <col min="4" max="4" width="10.1328125" style="2" customWidth="1"/>
    <col min="5" max="5" width="11.1328125" style="2" customWidth="1"/>
    <col min="6" max="6" width="14.1328125" style="2" bestFit="1" customWidth="1"/>
    <col min="7" max="8" width="13.796875" style="2" customWidth="1"/>
    <col min="9" max="9" width="46.1328125" style="2" bestFit="1" customWidth="1"/>
    <col min="10" max="10" width="3.46484375" style="2" customWidth="1"/>
    <col min="11" max="11" width="1.46484375" style="2" customWidth="1"/>
    <col min="12" max="12" width="12.46484375" style="2" customWidth="1"/>
    <col min="13" max="13" width="11.796875" style="2" customWidth="1"/>
    <col min="14" max="14" width="12.46484375" style="2" customWidth="1"/>
    <col min="15" max="15" width="12.796875" style="2" customWidth="1"/>
    <col min="16" max="16" width="15.796875" style="2" customWidth="1"/>
    <col min="17" max="17" width="25.46484375" style="2" bestFit="1" customWidth="1"/>
    <col min="18" max="16384" width="9.1328125" style="2"/>
  </cols>
  <sheetData>
    <row r="1" spans="1:29" ht="63" x14ac:dyDescent="0.45">
      <c r="A1" s="62" t="s">
        <v>2</v>
      </c>
      <c r="B1" s="62"/>
      <c r="C1" s="62"/>
      <c r="D1" s="62"/>
      <c r="E1" s="62"/>
      <c r="F1" s="62"/>
      <c r="G1" s="62"/>
      <c r="H1" s="62"/>
      <c r="I1" s="62"/>
      <c r="J1" s="62"/>
      <c r="K1" s="62"/>
      <c r="L1" s="62"/>
      <c r="M1" s="62"/>
      <c r="N1" s="62"/>
      <c r="O1" s="1"/>
      <c r="P1" s="1"/>
      <c r="Q1" s="1"/>
      <c r="R1" s="1"/>
      <c r="S1" s="1"/>
      <c r="T1" s="1"/>
      <c r="U1" s="1"/>
      <c r="V1" s="1"/>
      <c r="W1" s="1"/>
      <c r="X1" s="1"/>
      <c r="Y1" s="1"/>
      <c r="Z1" s="1"/>
      <c r="AA1" s="1"/>
      <c r="AB1" s="1"/>
      <c r="AC1" s="1"/>
    </row>
    <row r="2" spans="1:29" ht="25.5" customHeight="1" x14ac:dyDescent="0.45">
      <c r="A2" s="3"/>
      <c r="B2" s="3"/>
      <c r="C2" s="3"/>
      <c r="D2" s="3"/>
      <c r="E2" s="3"/>
      <c r="F2" s="3"/>
      <c r="G2" s="3"/>
      <c r="H2" s="4"/>
      <c r="I2" s="3"/>
      <c r="J2" s="3"/>
      <c r="K2" s="3"/>
      <c r="L2" s="3"/>
      <c r="M2" s="3"/>
      <c r="N2" s="3"/>
      <c r="O2" s="3"/>
      <c r="P2" s="3"/>
      <c r="Q2" s="3"/>
      <c r="R2" s="3"/>
      <c r="S2" s="3"/>
      <c r="T2" s="3"/>
      <c r="U2" s="3"/>
      <c r="V2" s="3"/>
      <c r="W2" s="3"/>
      <c r="X2" s="3"/>
      <c r="Y2" s="3"/>
      <c r="Z2" s="3"/>
      <c r="AA2" s="3"/>
      <c r="AB2" s="3"/>
      <c r="AC2" s="3"/>
    </row>
    <row r="3" spans="1:29" ht="18" x14ac:dyDescent="0.55000000000000004">
      <c r="B3" s="63" t="s">
        <v>3</v>
      </c>
      <c r="C3" s="63"/>
      <c r="D3" s="63"/>
      <c r="E3" s="63"/>
      <c r="F3" s="63"/>
      <c r="G3" s="63"/>
      <c r="H3" s="63"/>
      <c r="I3" s="63"/>
    </row>
    <row r="4" spans="1:29" x14ac:dyDescent="0.45">
      <c r="B4" s="5" t="s">
        <v>4</v>
      </c>
      <c r="C4" s="5" t="s">
        <v>5</v>
      </c>
      <c r="D4" s="5" t="s">
        <v>6</v>
      </c>
      <c r="E4" s="5" t="s">
        <v>7</v>
      </c>
      <c r="F4" s="5" t="s">
        <v>8</v>
      </c>
      <c r="G4" s="5" t="s">
        <v>9</v>
      </c>
      <c r="H4" s="5" t="s">
        <v>10</v>
      </c>
      <c r="I4" s="5" t="s">
        <v>11</v>
      </c>
    </row>
    <row r="5" spans="1:29" x14ac:dyDescent="0.45">
      <c r="B5" s="6" t="s">
        <v>12</v>
      </c>
      <c r="C5" s="6" t="s">
        <v>13</v>
      </c>
      <c r="D5" s="6" t="s">
        <v>14</v>
      </c>
      <c r="E5" s="7">
        <v>45614</v>
      </c>
      <c r="F5" s="7">
        <v>45646</v>
      </c>
      <c r="G5" s="6" t="s">
        <v>15</v>
      </c>
      <c r="H5" s="19">
        <v>0.5</v>
      </c>
      <c r="I5" s="6">
        <v>3</v>
      </c>
    </row>
    <row r="6" spans="1:29" x14ac:dyDescent="0.45">
      <c r="B6" s="6" t="s">
        <v>16</v>
      </c>
      <c r="C6" s="6" t="s">
        <v>17</v>
      </c>
      <c r="D6" s="6" t="s">
        <v>18</v>
      </c>
      <c r="E6" s="7">
        <v>45620</v>
      </c>
      <c r="F6" s="7">
        <v>45629</v>
      </c>
      <c r="G6" s="6" t="s">
        <v>19</v>
      </c>
      <c r="H6" s="8">
        <v>0</v>
      </c>
      <c r="I6" s="6">
        <v>3</v>
      </c>
    </row>
    <row r="7" spans="1:29" x14ac:dyDescent="0.45">
      <c r="B7" s="6" t="s">
        <v>20</v>
      </c>
      <c r="C7" s="6" t="s">
        <v>21</v>
      </c>
      <c r="D7" s="6" t="s">
        <v>22</v>
      </c>
      <c r="E7" s="7">
        <v>45609</v>
      </c>
      <c r="F7" s="7">
        <v>45633</v>
      </c>
      <c r="G7" s="6" t="s">
        <v>23</v>
      </c>
      <c r="H7" s="19">
        <v>0</v>
      </c>
      <c r="I7" s="6">
        <v>3</v>
      </c>
    </row>
    <row r="8" spans="1:29" x14ac:dyDescent="0.45">
      <c r="B8" s="6" t="s">
        <v>24</v>
      </c>
      <c r="C8" s="6" t="s">
        <v>17</v>
      </c>
      <c r="D8" s="6" t="s">
        <v>18</v>
      </c>
      <c r="E8" s="7">
        <v>45623</v>
      </c>
      <c r="F8" s="7">
        <v>45631</v>
      </c>
      <c r="G8" s="6" t="s">
        <v>19</v>
      </c>
      <c r="H8" s="19">
        <v>0.5</v>
      </c>
      <c r="I8" s="6">
        <v>4</v>
      </c>
    </row>
    <row r="9" spans="1:29" x14ac:dyDescent="0.45">
      <c r="B9" s="6" t="s">
        <v>25</v>
      </c>
      <c r="C9" s="6" t="s">
        <v>26</v>
      </c>
      <c r="D9" s="6" t="s">
        <v>14</v>
      </c>
      <c r="E9" s="7">
        <v>45537</v>
      </c>
      <c r="F9" s="7">
        <v>45545</v>
      </c>
      <c r="G9" s="6" t="s">
        <v>15</v>
      </c>
      <c r="H9" s="19">
        <v>0</v>
      </c>
      <c r="I9" s="6">
        <v>2</v>
      </c>
    </row>
  </sheetData>
  <mergeCells count="2">
    <mergeCell ref="A1:N1"/>
    <mergeCell ref="B3:I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E0490-D80B-499E-92AE-B1A07A6449CF}">
  <sheetPr codeName="Sheet7"/>
  <dimension ref="A1:B95"/>
  <sheetViews>
    <sheetView workbookViewId="0">
      <selection activeCell="H3" sqref="H3"/>
    </sheetView>
  </sheetViews>
  <sheetFormatPr defaultColWidth="10.796875" defaultRowHeight="14.25" x14ac:dyDescent="0.45"/>
  <cols>
    <col min="2" max="2" width="47.46484375" customWidth="1"/>
  </cols>
  <sheetData>
    <row r="1" spans="1:2" x14ac:dyDescent="0.45">
      <c r="A1" s="20" t="s">
        <v>27</v>
      </c>
      <c r="B1" s="20" t="s">
        <v>28</v>
      </c>
    </row>
    <row r="2" spans="1:2" ht="28.5" x14ac:dyDescent="0.45">
      <c r="A2" s="21">
        <v>1</v>
      </c>
      <c r="B2" s="21" t="s">
        <v>29</v>
      </c>
    </row>
    <row r="3" spans="1:2" ht="28.5" x14ac:dyDescent="0.45">
      <c r="A3" s="21">
        <v>2</v>
      </c>
      <c r="B3" s="21" t="s">
        <v>30</v>
      </c>
    </row>
    <row r="4" spans="1:2" ht="28.5" x14ac:dyDescent="0.45">
      <c r="A4" s="21">
        <v>3</v>
      </c>
      <c r="B4" s="21" t="s">
        <v>31</v>
      </c>
    </row>
    <row r="5" spans="1:2" ht="28.5" x14ac:dyDescent="0.45">
      <c r="A5" s="21">
        <v>4</v>
      </c>
      <c r="B5" s="21" t="s">
        <v>32</v>
      </c>
    </row>
    <row r="6" spans="1:2" x14ac:dyDescent="0.45">
      <c r="A6" s="21">
        <v>5</v>
      </c>
      <c r="B6" s="21" t="s">
        <v>33</v>
      </c>
    </row>
    <row r="7" spans="1:2" ht="28.5" x14ac:dyDescent="0.45">
      <c r="A7" s="21">
        <v>6</v>
      </c>
      <c r="B7" s="21" t="s">
        <v>34</v>
      </c>
    </row>
    <row r="8" spans="1:2" ht="28.5" x14ac:dyDescent="0.45">
      <c r="A8" s="21">
        <v>7</v>
      </c>
      <c r="B8" s="21" t="s">
        <v>35</v>
      </c>
    </row>
    <row r="9" spans="1:2" ht="28.5" x14ac:dyDescent="0.45">
      <c r="A9" s="21">
        <v>8</v>
      </c>
      <c r="B9" s="21" t="s">
        <v>36</v>
      </c>
    </row>
    <row r="10" spans="1:2" ht="28.5" x14ac:dyDescent="0.45">
      <c r="A10" s="21">
        <v>9</v>
      </c>
      <c r="B10" s="21" t="s">
        <v>37</v>
      </c>
    </row>
    <row r="11" spans="1:2" x14ac:dyDescent="0.45">
      <c r="A11" s="21">
        <v>10</v>
      </c>
      <c r="B11" s="21" t="s">
        <v>38</v>
      </c>
    </row>
    <row r="12" spans="1:2" ht="28.5" x14ac:dyDescent="0.45">
      <c r="A12" s="21">
        <v>11</v>
      </c>
      <c r="B12" s="21" t="s">
        <v>39</v>
      </c>
    </row>
    <row r="13" spans="1:2" ht="28.5" x14ac:dyDescent="0.45">
      <c r="A13" s="21">
        <v>12</v>
      </c>
      <c r="B13" s="21" t="s">
        <v>40</v>
      </c>
    </row>
    <row r="14" spans="1:2" ht="28.5" x14ac:dyDescent="0.45">
      <c r="A14" s="21">
        <v>13</v>
      </c>
      <c r="B14" s="21" t="s">
        <v>41</v>
      </c>
    </row>
    <row r="15" spans="1:2" ht="28.5" x14ac:dyDescent="0.45">
      <c r="A15" s="21">
        <v>14</v>
      </c>
      <c r="B15" s="21" t="s">
        <v>42</v>
      </c>
    </row>
    <row r="16" spans="1:2" ht="28.5" x14ac:dyDescent="0.45">
      <c r="A16" s="21">
        <v>15</v>
      </c>
      <c r="B16" s="21" t="s">
        <v>43</v>
      </c>
    </row>
    <row r="17" spans="1:2" ht="28.5" x14ac:dyDescent="0.45">
      <c r="A17" s="21">
        <v>16</v>
      </c>
      <c r="B17" s="21" t="s">
        <v>44</v>
      </c>
    </row>
    <row r="18" spans="1:2" ht="28.5" x14ac:dyDescent="0.45">
      <c r="A18" s="21">
        <v>17</v>
      </c>
      <c r="B18" s="21" t="s">
        <v>45</v>
      </c>
    </row>
    <row r="19" spans="1:2" ht="28.5" x14ac:dyDescent="0.45">
      <c r="A19" s="21">
        <v>18</v>
      </c>
      <c r="B19" s="21" t="s">
        <v>46</v>
      </c>
    </row>
    <row r="20" spans="1:2" ht="28.5" x14ac:dyDescent="0.45">
      <c r="A20" s="21">
        <v>19</v>
      </c>
      <c r="B20" s="21" t="s">
        <v>47</v>
      </c>
    </row>
    <row r="21" spans="1:2" ht="28.5" x14ac:dyDescent="0.45">
      <c r="A21" s="21">
        <v>20</v>
      </c>
      <c r="B21" s="21" t="s">
        <v>48</v>
      </c>
    </row>
    <row r="22" spans="1:2" ht="28.5" x14ac:dyDescent="0.45">
      <c r="A22" s="21">
        <v>21</v>
      </c>
      <c r="B22" s="21" t="s">
        <v>49</v>
      </c>
    </row>
    <row r="23" spans="1:2" x14ac:dyDescent="0.45">
      <c r="A23" s="21">
        <v>22</v>
      </c>
      <c r="B23" s="21" t="s">
        <v>50</v>
      </c>
    </row>
    <row r="24" spans="1:2" ht="28.5" x14ac:dyDescent="0.45">
      <c r="A24" s="21">
        <v>23</v>
      </c>
      <c r="B24" s="21" t="s">
        <v>51</v>
      </c>
    </row>
    <row r="25" spans="1:2" ht="42.75" x14ac:dyDescent="0.45">
      <c r="A25" s="21">
        <v>24</v>
      </c>
      <c r="B25" s="21" t="s">
        <v>52</v>
      </c>
    </row>
    <row r="26" spans="1:2" x14ac:dyDescent="0.45">
      <c r="A26" s="21">
        <v>25</v>
      </c>
      <c r="B26" s="21" t="s">
        <v>53</v>
      </c>
    </row>
    <row r="27" spans="1:2" ht="28.5" x14ac:dyDescent="0.45">
      <c r="A27" s="21">
        <v>26</v>
      </c>
      <c r="B27" s="21" t="s">
        <v>54</v>
      </c>
    </row>
    <row r="28" spans="1:2" ht="28.5" x14ac:dyDescent="0.45">
      <c r="A28" s="21">
        <v>27</v>
      </c>
      <c r="B28" s="21" t="s">
        <v>55</v>
      </c>
    </row>
    <row r="29" spans="1:2" ht="28.5" x14ac:dyDescent="0.45">
      <c r="A29" s="21">
        <v>28</v>
      </c>
      <c r="B29" s="21" t="s">
        <v>56</v>
      </c>
    </row>
    <row r="30" spans="1:2" ht="28.5" x14ac:dyDescent="0.45">
      <c r="A30" s="21">
        <v>29</v>
      </c>
      <c r="B30" s="21" t="s">
        <v>57</v>
      </c>
    </row>
    <row r="31" spans="1:2" x14ac:dyDescent="0.45">
      <c r="A31" s="21">
        <v>30</v>
      </c>
      <c r="B31" s="21" t="s">
        <v>58</v>
      </c>
    </row>
    <row r="32" spans="1:2" ht="28.5" x14ac:dyDescent="0.45">
      <c r="A32" s="21">
        <v>31</v>
      </c>
      <c r="B32" s="21" t="s">
        <v>59</v>
      </c>
    </row>
    <row r="33" spans="1:2" ht="28.5" x14ac:dyDescent="0.45">
      <c r="A33" s="21">
        <v>32</v>
      </c>
      <c r="B33" s="21" t="s">
        <v>60</v>
      </c>
    </row>
    <row r="34" spans="1:2" x14ac:dyDescent="0.45">
      <c r="A34" s="21">
        <v>33</v>
      </c>
      <c r="B34" s="21" t="s">
        <v>61</v>
      </c>
    </row>
    <row r="35" spans="1:2" x14ac:dyDescent="0.45">
      <c r="A35" s="21">
        <v>34</v>
      </c>
      <c r="B35" s="21" t="s">
        <v>62</v>
      </c>
    </row>
    <row r="36" spans="1:2" ht="28.5" x14ac:dyDescent="0.45">
      <c r="A36" s="21">
        <v>35</v>
      </c>
      <c r="B36" s="21" t="s">
        <v>63</v>
      </c>
    </row>
    <row r="37" spans="1:2" x14ac:dyDescent="0.45">
      <c r="A37" s="21">
        <v>36</v>
      </c>
      <c r="B37" s="21" t="s">
        <v>64</v>
      </c>
    </row>
    <row r="38" spans="1:2" ht="28.5" x14ac:dyDescent="0.45">
      <c r="A38" s="21">
        <v>37</v>
      </c>
      <c r="B38" s="21" t="s">
        <v>65</v>
      </c>
    </row>
    <row r="39" spans="1:2" x14ac:dyDescent="0.45">
      <c r="A39" s="21">
        <v>38</v>
      </c>
      <c r="B39" s="21" t="s">
        <v>66</v>
      </c>
    </row>
    <row r="40" spans="1:2" ht="28.5" x14ac:dyDescent="0.45">
      <c r="A40" s="21">
        <v>39</v>
      </c>
      <c r="B40" s="21" t="s">
        <v>67</v>
      </c>
    </row>
    <row r="41" spans="1:2" ht="28.5" x14ac:dyDescent="0.45">
      <c r="A41" s="21">
        <v>40</v>
      </c>
      <c r="B41" s="21" t="s">
        <v>68</v>
      </c>
    </row>
    <row r="42" spans="1:2" ht="28.5" x14ac:dyDescent="0.45">
      <c r="A42" s="21">
        <v>41</v>
      </c>
      <c r="B42" s="21" t="s">
        <v>69</v>
      </c>
    </row>
    <row r="43" spans="1:2" ht="28.5" x14ac:dyDescent="0.45">
      <c r="A43" s="21">
        <v>42</v>
      </c>
      <c r="B43" s="21" t="s">
        <v>70</v>
      </c>
    </row>
    <row r="44" spans="1:2" x14ac:dyDescent="0.45">
      <c r="A44" s="21">
        <v>43</v>
      </c>
      <c r="B44" s="21" t="s">
        <v>71</v>
      </c>
    </row>
    <row r="45" spans="1:2" ht="28.5" x14ac:dyDescent="0.45">
      <c r="A45" s="21">
        <v>44</v>
      </c>
      <c r="B45" s="21" t="s">
        <v>72</v>
      </c>
    </row>
    <row r="46" spans="1:2" ht="28.5" x14ac:dyDescent="0.45">
      <c r="A46" s="21">
        <v>45</v>
      </c>
      <c r="B46" s="21" t="s">
        <v>73</v>
      </c>
    </row>
    <row r="47" spans="1:2" ht="42.75" x14ac:dyDescent="0.45">
      <c r="A47" s="21">
        <v>46</v>
      </c>
      <c r="B47" s="21" t="s">
        <v>74</v>
      </c>
    </row>
    <row r="48" spans="1:2" ht="28.5" x14ac:dyDescent="0.45">
      <c r="A48" s="21">
        <v>47</v>
      </c>
      <c r="B48" s="21" t="s">
        <v>75</v>
      </c>
    </row>
    <row r="49" spans="1:2" ht="28.5" x14ac:dyDescent="0.45">
      <c r="A49" s="21">
        <v>48</v>
      </c>
      <c r="B49" s="21" t="s">
        <v>76</v>
      </c>
    </row>
    <row r="50" spans="1:2" x14ac:dyDescent="0.45">
      <c r="A50" s="21">
        <v>49</v>
      </c>
      <c r="B50" s="21" t="s">
        <v>77</v>
      </c>
    </row>
    <row r="51" spans="1:2" x14ac:dyDescent="0.45">
      <c r="A51" s="21">
        <v>50</v>
      </c>
      <c r="B51" s="21" t="s">
        <v>78</v>
      </c>
    </row>
    <row r="52" spans="1:2" ht="28.5" x14ac:dyDescent="0.45">
      <c r="A52" s="21">
        <v>51</v>
      </c>
      <c r="B52" s="21" t="s">
        <v>79</v>
      </c>
    </row>
    <row r="53" spans="1:2" ht="28.5" x14ac:dyDescent="0.45">
      <c r="A53" s="21">
        <v>52</v>
      </c>
      <c r="B53" s="21" t="s">
        <v>80</v>
      </c>
    </row>
    <row r="54" spans="1:2" x14ac:dyDescent="0.45">
      <c r="A54" s="21">
        <v>53</v>
      </c>
      <c r="B54" s="21" t="s">
        <v>81</v>
      </c>
    </row>
    <row r="55" spans="1:2" x14ac:dyDescent="0.45">
      <c r="A55" s="21">
        <v>54</v>
      </c>
      <c r="B55" s="21" t="s">
        <v>82</v>
      </c>
    </row>
    <row r="56" spans="1:2" ht="28.5" x14ac:dyDescent="0.45">
      <c r="A56" s="21">
        <v>55</v>
      </c>
      <c r="B56" s="21" t="s">
        <v>83</v>
      </c>
    </row>
    <row r="57" spans="1:2" ht="28.5" x14ac:dyDescent="0.45">
      <c r="A57" s="21">
        <v>56</v>
      </c>
      <c r="B57" s="21" t="s">
        <v>84</v>
      </c>
    </row>
    <row r="58" spans="1:2" ht="28.5" x14ac:dyDescent="0.45">
      <c r="A58" s="21">
        <v>57</v>
      </c>
      <c r="B58" s="21" t="s">
        <v>85</v>
      </c>
    </row>
    <row r="59" spans="1:2" ht="28.5" x14ac:dyDescent="0.45">
      <c r="A59" s="21">
        <v>58</v>
      </c>
      <c r="B59" s="21" t="s">
        <v>86</v>
      </c>
    </row>
    <row r="60" spans="1:2" ht="28.5" x14ac:dyDescent="0.45">
      <c r="A60" s="21">
        <v>59</v>
      </c>
      <c r="B60" s="21" t="s">
        <v>87</v>
      </c>
    </row>
    <row r="61" spans="1:2" x14ac:dyDescent="0.45">
      <c r="A61" s="21">
        <v>60</v>
      </c>
      <c r="B61" s="21" t="s">
        <v>88</v>
      </c>
    </row>
    <row r="62" spans="1:2" x14ac:dyDescent="0.45">
      <c r="A62" s="21">
        <v>61</v>
      </c>
      <c r="B62" s="21" t="s">
        <v>89</v>
      </c>
    </row>
    <row r="63" spans="1:2" ht="28.5" x14ac:dyDescent="0.45">
      <c r="A63" s="21">
        <v>62</v>
      </c>
      <c r="B63" s="21" t="s">
        <v>90</v>
      </c>
    </row>
    <row r="64" spans="1:2" x14ac:dyDescent="0.45">
      <c r="A64" s="21">
        <v>63</v>
      </c>
      <c r="B64" s="21" t="s">
        <v>91</v>
      </c>
    </row>
    <row r="65" spans="1:2" ht="28.5" x14ac:dyDescent="0.45">
      <c r="A65" s="21">
        <v>64</v>
      </c>
      <c r="B65" s="21" t="s">
        <v>92</v>
      </c>
    </row>
    <row r="66" spans="1:2" ht="28.5" x14ac:dyDescent="0.45">
      <c r="A66" s="21">
        <v>65</v>
      </c>
      <c r="B66" s="21" t="s">
        <v>93</v>
      </c>
    </row>
    <row r="67" spans="1:2" ht="28.5" x14ac:dyDescent="0.45">
      <c r="A67" s="21">
        <v>66</v>
      </c>
      <c r="B67" s="21" t="s">
        <v>94</v>
      </c>
    </row>
    <row r="68" spans="1:2" x14ac:dyDescent="0.45">
      <c r="A68" s="21">
        <v>67</v>
      </c>
      <c r="B68" s="21" t="s">
        <v>95</v>
      </c>
    </row>
    <row r="69" spans="1:2" x14ac:dyDescent="0.45">
      <c r="A69" s="21">
        <v>68</v>
      </c>
      <c r="B69" s="21" t="s">
        <v>96</v>
      </c>
    </row>
    <row r="70" spans="1:2" ht="28.5" x14ac:dyDescent="0.45">
      <c r="A70" s="21">
        <v>69</v>
      </c>
      <c r="B70" s="21" t="s">
        <v>97</v>
      </c>
    </row>
    <row r="71" spans="1:2" ht="28.5" x14ac:dyDescent="0.45">
      <c r="A71" s="21">
        <v>70</v>
      </c>
      <c r="B71" s="21" t="s">
        <v>98</v>
      </c>
    </row>
    <row r="72" spans="1:2" x14ac:dyDescent="0.45">
      <c r="A72" s="21">
        <v>71</v>
      </c>
      <c r="B72" s="21" t="s">
        <v>99</v>
      </c>
    </row>
    <row r="73" spans="1:2" ht="28.5" x14ac:dyDescent="0.45">
      <c r="A73" s="21">
        <v>72</v>
      </c>
      <c r="B73" s="21" t="s">
        <v>100</v>
      </c>
    </row>
    <row r="74" spans="1:2" ht="28.5" x14ac:dyDescent="0.45">
      <c r="A74" s="21">
        <v>73</v>
      </c>
      <c r="B74" s="21" t="s">
        <v>101</v>
      </c>
    </row>
    <row r="75" spans="1:2" ht="28.5" x14ac:dyDescent="0.45">
      <c r="A75" s="21">
        <v>74</v>
      </c>
      <c r="B75" s="21" t="s">
        <v>102</v>
      </c>
    </row>
    <row r="76" spans="1:2" ht="28.5" x14ac:dyDescent="0.45">
      <c r="A76" s="21">
        <v>75</v>
      </c>
      <c r="B76" s="21" t="s">
        <v>103</v>
      </c>
    </row>
    <row r="77" spans="1:2" ht="28.5" x14ac:dyDescent="0.45">
      <c r="A77" s="21">
        <v>76</v>
      </c>
      <c r="B77" s="21" t="s">
        <v>104</v>
      </c>
    </row>
    <row r="78" spans="1:2" ht="28.5" x14ac:dyDescent="0.45">
      <c r="A78" s="21">
        <v>77</v>
      </c>
      <c r="B78" s="21" t="s">
        <v>105</v>
      </c>
    </row>
    <row r="79" spans="1:2" ht="28.5" x14ac:dyDescent="0.45">
      <c r="A79" s="21">
        <v>78</v>
      </c>
      <c r="B79" s="21" t="s">
        <v>106</v>
      </c>
    </row>
    <row r="80" spans="1:2" x14ac:dyDescent="0.45">
      <c r="A80" s="21">
        <v>79</v>
      </c>
      <c r="B80" s="21" t="s">
        <v>107</v>
      </c>
    </row>
    <row r="81" spans="1:2" ht="28.5" x14ac:dyDescent="0.45">
      <c r="A81" s="21">
        <v>80</v>
      </c>
      <c r="B81" s="21" t="s">
        <v>108</v>
      </c>
    </row>
    <row r="82" spans="1:2" ht="28.5" x14ac:dyDescent="0.45">
      <c r="A82" s="21">
        <v>81</v>
      </c>
      <c r="B82" s="21" t="s">
        <v>109</v>
      </c>
    </row>
    <row r="83" spans="1:2" ht="28.5" x14ac:dyDescent="0.45">
      <c r="A83" s="21">
        <v>82</v>
      </c>
      <c r="B83" s="21" t="s">
        <v>110</v>
      </c>
    </row>
    <row r="84" spans="1:2" ht="28.5" x14ac:dyDescent="0.45">
      <c r="A84" s="21">
        <v>83</v>
      </c>
      <c r="B84" s="21" t="s">
        <v>111</v>
      </c>
    </row>
    <row r="85" spans="1:2" ht="28.5" x14ac:dyDescent="0.45">
      <c r="A85" s="21">
        <v>84</v>
      </c>
      <c r="B85" s="21" t="s">
        <v>112</v>
      </c>
    </row>
    <row r="86" spans="1:2" x14ac:dyDescent="0.45">
      <c r="A86" s="21">
        <v>85</v>
      </c>
      <c r="B86" s="21" t="s">
        <v>113</v>
      </c>
    </row>
    <row r="87" spans="1:2" ht="28.5" x14ac:dyDescent="0.45">
      <c r="A87" s="21">
        <v>86</v>
      </c>
      <c r="B87" s="21" t="s">
        <v>114</v>
      </c>
    </row>
    <row r="88" spans="1:2" ht="28.5" x14ac:dyDescent="0.45">
      <c r="A88" s="21">
        <v>87</v>
      </c>
      <c r="B88" s="21" t="s">
        <v>115</v>
      </c>
    </row>
    <row r="89" spans="1:2" ht="28.5" x14ac:dyDescent="0.45">
      <c r="A89" s="21">
        <v>88</v>
      </c>
      <c r="B89" s="21" t="s">
        <v>116</v>
      </c>
    </row>
    <row r="90" spans="1:2" ht="28.5" x14ac:dyDescent="0.45">
      <c r="A90" s="21">
        <v>89</v>
      </c>
      <c r="B90" s="21" t="s">
        <v>117</v>
      </c>
    </row>
    <row r="91" spans="1:2" ht="28.5" x14ac:dyDescent="0.45">
      <c r="A91" s="21">
        <v>90</v>
      </c>
      <c r="B91" s="21" t="s">
        <v>118</v>
      </c>
    </row>
    <row r="92" spans="1:2" ht="28.5" x14ac:dyDescent="0.45">
      <c r="A92" s="21">
        <v>91</v>
      </c>
      <c r="B92" s="21" t="s">
        <v>119</v>
      </c>
    </row>
    <row r="93" spans="1:2" ht="28.5" x14ac:dyDescent="0.45">
      <c r="A93" s="21">
        <v>92</v>
      </c>
      <c r="B93" s="21" t="s">
        <v>120</v>
      </c>
    </row>
    <row r="94" spans="1:2" ht="28.5" x14ac:dyDescent="0.45">
      <c r="A94" s="21">
        <v>93</v>
      </c>
      <c r="B94" s="21" t="s">
        <v>63</v>
      </c>
    </row>
    <row r="95" spans="1:2" ht="28.5" x14ac:dyDescent="0.45">
      <c r="A95" s="21">
        <v>94</v>
      </c>
      <c r="B95" s="21" t="s">
        <v>44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CD0D8-9077-4524-8465-9F97F9A537A7}">
  <sheetPr codeName="Sheet4"/>
  <dimension ref="A1:U7"/>
  <sheetViews>
    <sheetView workbookViewId="0">
      <selection activeCell="D33" sqref="D33"/>
    </sheetView>
  </sheetViews>
  <sheetFormatPr defaultColWidth="9.1328125" defaultRowHeight="14.25" x14ac:dyDescent="0.45"/>
  <cols>
    <col min="1" max="1" width="1.46484375" style="2" customWidth="1"/>
    <col min="2" max="2" width="14.1328125" style="2" bestFit="1" customWidth="1"/>
    <col min="3" max="3" width="13.796875" style="2" bestFit="1" customWidth="1"/>
    <col min="4" max="4" width="14.796875" style="2" customWidth="1"/>
    <col min="5" max="5" width="2.46484375" style="2" customWidth="1"/>
    <col min="6" max="6" width="14.1328125" style="2" bestFit="1" customWidth="1"/>
    <col min="7" max="7" width="19.46484375" style="2" customWidth="1"/>
    <col min="8" max="8" width="1.796875" style="2" customWidth="1"/>
    <col min="9" max="9" width="0.46484375" style="2" customWidth="1"/>
    <col min="10" max="10" width="14.796875" style="2" bestFit="1" customWidth="1"/>
    <col min="11" max="11" width="34.1328125" style="2" bestFit="1" customWidth="1"/>
    <col min="12" max="12" width="32.796875" style="2" bestFit="1" customWidth="1"/>
    <col min="13" max="13" width="2.46484375" style="2" customWidth="1"/>
    <col min="14" max="18" width="13.1328125" style="2" customWidth="1"/>
    <col min="19" max="19" width="12.46484375" style="2" customWidth="1"/>
    <col min="20" max="16384" width="9.1328125" style="2"/>
  </cols>
  <sheetData>
    <row r="1" spans="1:21" ht="78.75" customHeight="1" x14ac:dyDescent="0.45">
      <c r="A1" s="62" t="s">
        <v>121</v>
      </c>
      <c r="B1" s="62"/>
      <c r="C1" s="62"/>
      <c r="D1" s="62"/>
      <c r="E1" s="62"/>
      <c r="F1" s="62"/>
      <c r="G1" s="62"/>
      <c r="H1" s="62"/>
      <c r="I1" s="62"/>
      <c r="J1" s="62"/>
      <c r="K1" s="62"/>
      <c r="L1" s="62"/>
      <c r="M1" s="62"/>
      <c r="N1" s="62"/>
      <c r="O1" s="62"/>
      <c r="P1" s="62"/>
      <c r="Q1" s="62"/>
      <c r="R1" s="62"/>
      <c r="S1" s="62"/>
      <c r="T1" s="62"/>
      <c r="U1" s="62"/>
    </row>
    <row r="2" spans="1:21" ht="19.5" customHeight="1" x14ac:dyDescent="0.45">
      <c r="A2" s="3"/>
      <c r="B2" s="3"/>
      <c r="C2" s="3"/>
      <c r="D2" s="3"/>
      <c r="E2" s="3"/>
      <c r="F2" s="3"/>
      <c r="G2" s="3"/>
      <c r="H2" s="3"/>
      <c r="I2" s="3"/>
      <c r="J2" s="3"/>
      <c r="K2" s="3"/>
      <c r="L2" s="3"/>
      <c r="M2" s="3"/>
      <c r="N2" s="3"/>
      <c r="O2" s="3"/>
      <c r="P2" s="3"/>
      <c r="Q2" s="3"/>
      <c r="R2" s="3"/>
      <c r="S2" s="3"/>
    </row>
    <row r="3" spans="1:21" ht="18" x14ac:dyDescent="0.55000000000000004">
      <c r="B3" s="63" t="s">
        <v>122</v>
      </c>
      <c r="C3" s="63"/>
      <c r="D3" s="63"/>
      <c r="F3" s="63" t="s">
        <v>123</v>
      </c>
      <c r="G3" s="63"/>
      <c r="J3" s="64" t="s">
        <v>124</v>
      </c>
      <c r="K3" s="65"/>
      <c r="L3" s="66"/>
      <c r="N3" s="64" t="s">
        <v>125</v>
      </c>
      <c r="O3" s="65"/>
      <c r="P3" s="65"/>
      <c r="Q3" s="65"/>
      <c r="R3" s="66"/>
    </row>
    <row r="4" spans="1:21" x14ac:dyDescent="0.45">
      <c r="B4" s="9" t="s">
        <v>126</v>
      </c>
      <c r="C4" s="9" t="s">
        <v>127</v>
      </c>
      <c r="D4" s="9" t="s">
        <v>128</v>
      </c>
      <c r="F4" s="10" t="s">
        <v>129</v>
      </c>
      <c r="G4" s="11" t="s">
        <v>130</v>
      </c>
      <c r="J4" s="9" t="s">
        <v>131</v>
      </c>
      <c r="K4" s="9" t="s">
        <v>132</v>
      </c>
      <c r="L4" s="9" t="s">
        <v>9</v>
      </c>
      <c r="N4" s="10" t="s">
        <v>133</v>
      </c>
      <c r="O4" s="9" t="s">
        <v>134</v>
      </c>
      <c r="P4" s="9" t="s">
        <v>135</v>
      </c>
      <c r="Q4" s="9" t="s">
        <v>136</v>
      </c>
      <c r="R4" s="11" t="s">
        <v>137</v>
      </c>
    </row>
    <row r="5" spans="1:21" x14ac:dyDescent="0.45">
      <c r="B5" s="12" t="s">
        <v>138</v>
      </c>
      <c r="C5" s="12">
        <v>1</v>
      </c>
      <c r="D5" s="12" t="s">
        <v>139</v>
      </c>
      <c r="F5" s="13" t="s">
        <v>140</v>
      </c>
      <c r="G5" s="14">
        <v>30</v>
      </c>
      <c r="J5" s="15" t="s">
        <v>141</v>
      </c>
      <c r="K5" s="15">
        <v>1</v>
      </c>
      <c r="L5" s="15" t="s">
        <v>142</v>
      </c>
      <c r="N5" s="16">
        <v>5</v>
      </c>
      <c r="O5" s="18" t="s">
        <v>143</v>
      </c>
      <c r="P5" s="6">
        <v>3</v>
      </c>
      <c r="Q5" s="6">
        <v>5</v>
      </c>
      <c r="R5" s="17">
        <v>1</v>
      </c>
    </row>
    <row r="6" spans="1:21" x14ac:dyDescent="0.45">
      <c r="J6" s="15" t="s">
        <v>144</v>
      </c>
      <c r="K6" s="15">
        <v>2</v>
      </c>
      <c r="L6" s="15" t="s">
        <v>145</v>
      </c>
    </row>
    <row r="7" spans="1:21" x14ac:dyDescent="0.45">
      <c r="J7" s="6" t="s">
        <v>146</v>
      </c>
      <c r="K7" s="6">
        <v>2</v>
      </c>
      <c r="L7" s="6" t="s">
        <v>147</v>
      </c>
    </row>
  </sheetData>
  <mergeCells count="5">
    <mergeCell ref="A1:U1"/>
    <mergeCell ref="B3:D3"/>
    <mergeCell ref="F3:G3"/>
    <mergeCell ref="J3:L3"/>
    <mergeCell ref="N3:R3"/>
  </mergeCells>
  <pageMargins left="0.7" right="0.7" top="0.75" bottom="0.75" header="0.3" footer="0.3"/>
  <pageSetup orientation="portrait" r:id="rId1"/>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3C03-C650-4467-89D8-84CA7B29842A}">
  <sheetPr codeName="Sheet8"/>
  <dimension ref="A1:H9"/>
  <sheetViews>
    <sheetView zoomScale="59" zoomScaleNormal="40" workbookViewId="0">
      <selection activeCell="D13" sqref="D13"/>
    </sheetView>
  </sheetViews>
  <sheetFormatPr defaultColWidth="15.46484375" defaultRowHeight="80.25" customHeight="1" x14ac:dyDescent="0.8"/>
  <cols>
    <col min="1" max="1" width="61.33203125" style="24" customWidth="1"/>
    <col min="2" max="2" width="41.796875" style="24" bestFit="1" customWidth="1"/>
    <col min="3" max="5" width="38" style="24" bestFit="1" customWidth="1"/>
    <col min="6" max="6" width="33.33203125" style="24" customWidth="1"/>
    <col min="7" max="7" width="33.796875" style="24" customWidth="1"/>
    <col min="8" max="8" width="36.796875" style="24" customWidth="1"/>
    <col min="9" max="16384" width="15.46484375" style="24"/>
  </cols>
  <sheetData>
    <row r="1" spans="1:8" s="27" customFormat="1" ht="92.75" customHeight="1" x14ac:dyDescent="2">
      <c r="A1" s="28" t="s">
        <v>148</v>
      </c>
      <c r="B1" s="26"/>
      <c r="C1" s="26"/>
      <c r="D1" s="26"/>
      <c r="E1" s="26"/>
      <c r="F1" s="26"/>
      <c r="G1" s="26"/>
    </row>
    <row r="2" spans="1:8" ht="30" customHeight="1" x14ac:dyDescent="0.8">
      <c r="A2" s="25" t="s">
        <v>149</v>
      </c>
      <c r="B2" s="23">
        <f ca="1">TODAY()</f>
        <v>45694</v>
      </c>
    </row>
    <row r="3" spans="1:8" ht="60" customHeight="1" x14ac:dyDescent="2">
      <c r="A3" s="67" t="s">
        <v>150</v>
      </c>
      <c r="B3" s="68"/>
      <c r="C3" s="68"/>
      <c r="D3" s="68"/>
      <c r="E3" s="68"/>
      <c r="F3" s="68"/>
      <c r="G3" s="68"/>
      <c r="H3" s="69"/>
    </row>
    <row r="4" spans="1:8" ht="60" customHeight="1" x14ac:dyDescent="0.8">
      <c r="A4" s="58" t="s">
        <v>149</v>
      </c>
      <c r="B4" s="59">
        <f ca="1">TODAY()</f>
        <v>45694</v>
      </c>
      <c r="C4" s="59">
        <f ca="1">B4+1</f>
        <v>45695</v>
      </c>
      <c r="D4" s="59">
        <f t="shared" ref="D4:G4" ca="1" si="0">C4+1</f>
        <v>45696</v>
      </c>
      <c r="E4" s="59">
        <f t="shared" ca="1" si="0"/>
        <v>45697</v>
      </c>
      <c r="F4" s="59">
        <f t="shared" ca="1" si="0"/>
        <v>45698</v>
      </c>
      <c r="G4" s="59">
        <f t="shared" ca="1" si="0"/>
        <v>45699</v>
      </c>
      <c r="H4" s="59">
        <f ca="1">G4+1</f>
        <v>45700</v>
      </c>
    </row>
    <row r="5" spans="1:8" ht="60" customHeight="1" x14ac:dyDescent="0.8">
      <c r="A5" s="58" t="s">
        <v>151</v>
      </c>
      <c r="B5" s="60" t="str">
        <f ca="1">TEXT(B4, "dddd")</f>
        <v>Thursday</v>
      </c>
      <c r="C5" s="60" t="str">
        <f t="shared" ref="C5:H5" ca="1" si="1">TEXT(C4, "dddd")</f>
        <v>Friday</v>
      </c>
      <c r="D5" s="60" t="str">
        <f t="shared" ca="1" si="1"/>
        <v>Saturday</v>
      </c>
      <c r="E5" s="60" t="str">
        <f t="shared" ca="1" si="1"/>
        <v>Sunday</v>
      </c>
      <c r="F5" s="60" t="str">
        <f t="shared" ca="1" si="1"/>
        <v>Monday</v>
      </c>
      <c r="G5" s="60" t="str">
        <f t="shared" ca="1" si="1"/>
        <v>Tuesday</v>
      </c>
      <c r="H5" s="60" t="str">
        <f t="shared" ca="1" si="1"/>
        <v>Wednesday</v>
      </c>
    </row>
    <row r="6" spans="1:8" ht="60" customHeight="1" x14ac:dyDescent="0.8">
      <c r="A6" s="58" t="s">
        <v>152</v>
      </c>
      <c r="B6" s="60" t="str" cm="1">
        <f t="array" aca="1" ref="B6" ca="1">IF(ISNUMBER(MATCH(TEXT(B4, "dddd"), {"Monday","Tuesday","Wednesday","Thursday","Friday"}, 0)), "Commute time: " &amp; TEXT(INDIRECT("'Personal profile'!G5")/60, "0.00") &amp; " hours", "No commute")</f>
        <v>Commute time: 0.50 hours</v>
      </c>
      <c r="C6" s="60" t="str" cm="1">
        <f t="array" aca="1" ref="C6" ca="1">IF(ISNUMBER(MATCH(TEXT(C4, "dddd"), {"Monday","Tuesday","Wednesday","Thursday","Friday"}, 0)), "Commute time: " &amp; TEXT(INDIRECT("'Personal profile'!G5")/60, "0.00") &amp; " hours", "No commute")</f>
        <v>Commute time: 0.50 hours</v>
      </c>
      <c r="D6" s="60" t="str" cm="1">
        <f t="array" aca="1" ref="D6" ca="1">IF(ISNUMBER(MATCH(TEXT(D4, "dddd"), {"Monday","Tuesday","Wednesday","Thursday","Friday"}, 0)), "Commute time: " &amp; TEXT(INDIRECT("'Personal profile'!G5")/60, "0.00") &amp; " hours", "No commute")</f>
        <v>No commute</v>
      </c>
      <c r="E6" s="60" t="str" cm="1">
        <f t="array" aca="1" ref="E6" ca="1">IF(ISNUMBER(MATCH(TEXT(E4, "dddd"), {"Monday","Tuesday","Wednesday","Thursday","Friday"}, 0)), "Commute time: " &amp; TEXT(INDIRECT("'Personal profile'!G5")/60, "0.00") &amp; " hours", "No commute")</f>
        <v>No commute</v>
      </c>
      <c r="F6" s="60" t="str" cm="1">
        <f t="array" aca="1" ref="F6" ca="1">IF(ISNUMBER(MATCH(TEXT(F4, "dddd"), {"Monday","Tuesday","Wednesday","Thursday","Friday"}, 0)), "Commute time: " &amp; TEXT(INDIRECT("'Personal profile'!G5")/60, "0.00") &amp; " hours", "No commute")</f>
        <v>Commute time: 0.50 hours</v>
      </c>
      <c r="G6" s="60" t="str" cm="1">
        <f t="array" aca="1" ref="G6" ca="1">IF(ISNUMBER(MATCH(TEXT(G4, "dddd"), {"Monday","Tuesday","Wednesday","Thursday","Friday"}, 0)), "Commute time: " &amp; TEXT(INDIRECT("'Personal profile'!G5")/60, "0.00") &amp; " hours", "No commute")</f>
        <v>Commute time: 0.50 hours</v>
      </c>
      <c r="H6" s="60" t="str" cm="1">
        <f t="array" aca="1" ref="H6" ca="1">IF(ISNUMBER(MATCH(TEXT(H4, "dddd"), {"Monday","Tuesday","Wednesday","Thursday","Friday"}, 0)), "Commute time: " &amp; TEXT(INDIRECT("'Personal profile'!G5")/60, "0.00") &amp; " hours", "No commute")</f>
        <v>Commute time: 0.50 hours</v>
      </c>
    </row>
    <row r="7" spans="1:8" ht="60" customHeight="1" x14ac:dyDescent="0.8">
      <c r="A7" s="58" t="s">
        <v>153</v>
      </c>
      <c r="B7" s="60" t="str" cm="1">
        <f t="array" aca="1" ref="B7" ca="1">IF(TEXT(B5, "dddd")="Monday", "In class for " &amp; TEXT(INDIRECT("'Personal profile'!N5"), "0.00") &amp; " hrs", IF(TEXT(B5, "dddd")="Tuesday", "In class for " &amp; TEXT(INDIRECT("'Personal profile'!O5"), "0.00") &amp; " hrs", IF(TEXT(B5, "dddd")="Wednesday", "In class for " &amp; TEXT(INDIRECT("'Personal profile'!P5"), "0.00") &amp; " hrs", IF(TEXT(B5, "dddd")="Thursday", "In class for " &amp; TEXT(INDIRECT("'Personal profile'!Q5"), "0.00") &amp; " hrs", IF(TEXT(B5, "dddd")="Friday", "In class for " &amp; TEXT(INDIRECT("'Personal profile'!R5"), "0.00") &amp; " hrs", "No time in class")))))</f>
        <v>In class for 5.00 hrs</v>
      </c>
      <c r="C7" s="60" t="str" cm="1">
        <f t="array" aca="1" ref="C7" ca="1">IF(TEXT(C5, "dddd")="Monday", "In class for " &amp; TEXT(INDIRECT("'Personal profile'!N5"), "0.00") &amp; " hrs", IF(TEXT(C5, "dddd")="Tuesday", "In class for " &amp; TEXT(INDIRECT("'Personal profile'!O5"), "0.00") &amp; " hrs", IF(TEXT(C5, "dddd")="Wednesday", "In class for " &amp; TEXT(INDIRECT("'Personal profile'!P5"), "0.00") &amp; " hrs", IF(TEXT(C5, "dddd")="Thursday", "In class for " &amp; TEXT(INDIRECT("'Personal profile'!Q5"), "0.00") &amp; " hrs", IF(TEXT(C5, "dddd")="Friday", "In class for " &amp; TEXT(INDIRECT("'Personal profile'!R5"), "0.00") &amp; " hrs", "No time in class")))))</f>
        <v>In class for 1.00 hrs</v>
      </c>
      <c r="D7" s="60" t="str" cm="1">
        <f t="array" aca="1" ref="D7" ca="1">IF(TEXT(D5, "dddd")="Monday", "In class for " &amp; TEXT(INDIRECT("'Personal profile'!N5"), "0.00") &amp; " hrs", IF(TEXT(D5, "dddd")="Tuesday", "In class for " &amp; TEXT(INDIRECT("'Personal profile'!O5"), "0.00") &amp; " hrs", IF(TEXT(D5, "dddd")="Wednesday", "In class for " &amp; TEXT(INDIRECT("'Personal profile'!P5"), "0.00") &amp; " hrs", IF(TEXT(D5, "dddd")="Thursday", "In class for " &amp; TEXT(INDIRECT("'Personal profile'!Q5"), "0.00") &amp; " hrs", IF(TEXT(D5, "dddd")="Friday", "In class for " &amp; TEXT(INDIRECT("'Personal profile'!R5"), "0.00") &amp; " hrs", "No time in class")))))</f>
        <v>No time in class</v>
      </c>
      <c r="E7" s="60" t="str" cm="1">
        <f t="array" aca="1" ref="E7" ca="1">IF(TEXT(E5, "dddd")="Monday", "In class for " &amp; TEXT(INDIRECT("'Personal profile'!N5"), "0.00") &amp; " hrs", IF(TEXT(E5, "dddd")="Tuesday", "In class for " &amp; TEXT(INDIRECT("'Personal profile'!O5"), "0.00") &amp; " hrs", IF(TEXT(E5, "dddd")="Wednesday", "In class for " &amp; TEXT(INDIRECT("'Personal profile'!P5"), "0.00") &amp; " hrs", IF(TEXT(E5, "dddd")="Thursday", "In class for " &amp; TEXT(INDIRECT("'Personal profile'!Q5"), "0.00") &amp; " hrs", IF(TEXT(E5, "dddd")="Friday", "In class for " &amp; TEXT(INDIRECT("'Personal profile'!R5"), "0.00") &amp; " hrs", "No time in class")))))</f>
        <v>No time in class</v>
      </c>
      <c r="F7" s="60" t="str" cm="1">
        <f t="array" aca="1" ref="F7" ca="1">IF(TEXT(F5, "dddd")="Monday", "In class for " &amp; TEXT(INDIRECT("'Personal profile'!N5"), "0.00") &amp; " hrs", IF(TEXT(F5, "dddd")="Tuesday", "In class for " &amp; TEXT(INDIRECT("'Personal profile'!O5"), "0.00") &amp; " hrs", IF(TEXT(F5, "dddd")="Wednesday", "In class for " &amp; TEXT(INDIRECT("'Personal profile'!P5"), "0.00") &amp; " hrs", IF(TEXT(F5, "dddd")="Thursday", "In class for " &amp; TEXT(INDIRECT("'Personal profile'!Q5"), "0.00") &amp; " hrs", IF(TEXT(F5, "dddd")="Friday", "In class for " &amp; TEXT(INDIRECT("'Personal profile'!R5"), "0.00") &amp; " hrs", "No time in class")))))</f>
        <v>In class for 5.00 hrs</v>
      </c>
      <c r="G7" s="60" t="str" cm="1">
        <f t="array" aca="1" ref="G7" ca="1">IF(TEXT(G5, "dddd")="Monday", "In class for " &amp; TEXT(INDIRECT("'Personal profile'!N5"), "0.00") &amp; " hrs", IF(TEXT(G5, "dddd")="Tuesday", "In class for " &amp; TEXT(INDIRECT("'Personal profile'!O5"), "0.00") &amp; " hrs", IF(TEXT(G5, "dddd")="Wednesday", "In class for " &amp; TEXT(INDIRECT("'Personal profile'!P5"), "0.00") &amp; " hrs", IF(TEXT(G5, "dddd")="Thursday", "In class for " &amp; TEXT(INDIRECT("'Personal profile'!Q5"), "0.00") &amp; " hrs", IF(TEXT(G5, "dddd")="Friday", "In class for " &amp; TEXT(INDIRECT("'Personal profile'!R5"), "0.00") &amp; " hrs", "No time in class")))))</f>
        <v>In class for 7+ hrs</v>
      </c>
      <c r="H7" s="60" t="str" cm="1">
        <f t="array" aca="1" ref="H7" ca="1">IF(TEXT(H5, "dddd")="Monday", "In class for " &amp; TEXT(INDIRECT("'Personal profile'!N5"), "0.00") &amp; " hrs", IF(TEXT(H5, "dddd")="Tuesday", "In class for " &amp; TEXT(INDIRECT("'Personal profile'!O5"), "0.00") &amp; " hrs", IF(TEXT(H5, "dddd")="Wednesday", "In class for " &amp; TEXT(INDIRECT("'Personal profile'!P5"), "0.00") &amp; " hrs", IF(TEXT(H5, "dddd")="Thursday", "In class for " &amp; TEXT(INDIRECT("'Personal profile'!Q5"), "0.00") &amp; " hrs", IF(TEXT(H5, "dddd")="Friday", "In class for " &amp; TEXT(INDIRECT("'Personal profile'!R5"), "0.00") &amp; " hrs", "No time in class")))))</f>
        <v>In class for 3.00 hrs</v>
      </c>
    </row>
    <row r="8" spans="1:8" ht="60" customHeight="1" x14ac:dyDescent="0.8">
      <c r="A8" s="58" t="s">
        <v>154</v>
      </c>
      <c r="B8" s="60"/>
      <c r="C8" s="60"/>
      <c r="D8" s="60"/>
      <c r="E8" s="60"/>
      <c r="F8" s="60"/>
      <c r="G8" s="60"/>
      <c r="H8" s="60"/>
    </row>
    <row r="9" spans="1:8" ht="60" customHeight="1" x14ac:dyDescent="0.8">
      <c r="A9" s="58" t="s">
        <v>155</v>
      </c>
      <c r="B9" s="60"/>
      <c r="C9" s="60"/>
      <c r="D9" s="60"/>
      <c r="E9" s="60"/>
      <c r="F9" s="60"/>
      <c r="G9" s="60"/>
      <c r="H9" s="60"/>
    </row>
  </sheetData>
  <mergeCells count="1">
    <mergeCell ref="A3:H3"/>
  </mergeCells>
  <pageMargins left="0.7" right="0.7" top="0.75" bottom="0.75" header="0.3" footer="0.3"/>
  <pageSetup orientation="portrait" horizontalDpi="300" verticalDpi="30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BFC6A-A62E-4BFC-80A5-E4E6D0F1B943}">
  <sheetPr codeName="Sheet6"/>
  <dimension ref="A1:BD165"/>
  <sheetViews>
    <sheetView zoomScale="54" workbookViewId="0"/>
  </sheetViews>
  <sheetFormatPr defaultColWidth="10.796875" defaultRowHeight="14.65" x14ac:dyDescent="0.5"/>
  <cols>
    <col min="1" max="1" width="95.1328125" style="33" bestFit="1" customWidth="1"/>
    <col min="2" max="2" width="38" style="33" customWidth="1"/>
    <col min="3" max="3" width="17" style="33" bestFit="1" customWidth="1"/>
    <col min="4" max="4" width="46.1328125" style="29" customWidth="1"/>
    <col min="5" max="5" width="16.796875" style="29" customWidth="1"/>
    <col min="6" max="16384" width="10.796875" style="29"/>
  </cols>
  <sheetData>
    <row r="1" spans="1:56" s="35" customFormat="1" ht="107.75" customHeight="1" thickBot="1" x14ac:dyDescent="3.05">
      <c r="A1" s="55" t="s">
        <v>156</v>
      </c>
      <c r="B1" s="41">
        <f ca="1">TODAY()</f>
        <v>45694</v>
      </c>
      <c r="C1" s="34"/>
    </row>
    <row r="2" spans="1:56" ht="27.75" customHeight="1" thickBot="1" x14ac:dyDescent="0.55000000000000004">
      <c r="A2" s="38" t="s">
        <v>157</v>
      </c>
      <c r="B2" s="39" t="s">
        <v>158</v>
      </c>
      <c r="C2" s="40" t="s">
        <v>159</v>
      </c>
      <c r="D2" s="22"/>
      <c r="E2" s="5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row>
    <row r="3" spans="1:56" s="32" customFormat="1" ht="19.899999999999999" x14ac:dyDescent="0.5">
      <c r="A3" s="36"/>
      <c r="B3" s="36">
        <v>0</v>
      </c>
      <c r="C3" s="37">
        <v>45646</v>
      </c>
      <c r="D3" s="53" t="s">
        <v>160</v>
      </c>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row>
    <row r="4" spans="1:56" s="32" customFormat="1" ht="19.899999999999999" x14ac:dyDescent="0.5">
      <c r="A4" s="30"/>
      <c r="B4" s="30">
        <v>0</v>
      </c>
      <c r="C4" s="31">
        <v>45629</v>
      </c>
      <c r="D4" s="54"/>
      <c r="E4" s="54"/>
      <c r="F4" s="54"/>
      <c r="G4" s="54"/>
      <c r="H4" s="54"/>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4"/>
      <c r="AP4" s="54"/>
      <c r="AQ4" s="54"/>
      <c r="AR4" s="54"/>
      <c r="AS4" s="54"/>
      <c r="AT4" s="54"/>
      <c r="AU4" s="54"/>
      <c r="AV4" s="54"/>
      <c r="AW4" s="54"/>
      <c r="AX4" s="54"/>
      <c r="AY4" s="54"/>
      <c r="AZ4" s="54"/>
      <c r="BA4" s="54"/>
      <c r="BB4" s="54"/>
      <c r="BC4" s="54"/>
      <c r="BD4" s="54"/>
    </row>
    <row r="5" spans="1:56" s="32" customFormat="1" ht="19.899999999999999" x14ac:dyDescent="0.5">
      <c r="A5" s="30"/>
      <c r="B5" s="30">
        <v>0</v>
      </c>
      <c r="C5" s="31">
        <v>45633</v>
      </c>
      <c r="D5" s="54"/>
      <c r="E5" s="54"/>
      <c r="F5" s="54"/>
      <c r="G5" s="54"/>
      <c r="H5" s="54"/>
      <c r="I5" s="54"/>
      <c r="J5" s="54"/>
      <c r="K5" s="54"/>
      <c r="L5" s="54"/>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c r="BC5" s="54"/>
      <c r="BD5" s="54"/>
    </row>
    <row r="6" spans="1:56" s="32" customFormat="1" ht="19.899999999999999" x14ac:dyDescent="0.5">
      <c r="A6" s="30"/>
      <c r="B6" s="30">
        <v>0</v>
      </c>
      <c r="C6" s="31">
        <v>45631</v>
      </c>
      <c r="D6" s="54"/>
      <c r="E6" s="54"/>
      <c r="F6" s="54"/>
      <c r="G6" s="54"/>
      <c r="H6" s="54"/>
      <c r="I6" s="54"/>
      <c r="J6" s="54"/>
      <c r="K6" s="54"/>
      <c r="L6" s="54"/>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c r="BC6" s="54"/>
      <c r="BD6" s="54"/>
    </row>
    <row r="7" spans="1:56" s="32" customFormat="1" ht="19.899999999999999" x14ac:dyDescent="0.5">
      <c r="A7" s="30"/>
      <c r="B7" s="30">
        <v>0</v>
      </c>
      <c r="C7" s="31">
        <v>45545</v>
      </c>
      <c r="D7" s="54"/>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c r="BC7" s="54"/>
      <c r="BD7" s="54"/>
    </row>
    <row r="8" spans="1:56" s="32" customFormat="1" ht="19.899999999999999" x14ac:dyDescent="0.5">
      <c r="A8" s="30"/>
      <c r="B8" s="30"/>
      <c r="C8" s="30"/>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c r="BC8" s="54"/>
      <c r="BD8" s="54"/>
    </row>
    <row r="9" spans="1:56" s="32" customFormat="1" ht="19.899999999999999" x14ac:dyDescent="0.5">
      <c r="A9" s="30"/>
      <c r="B9" s="30"/>
      <c r="C9" s="30"/>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c r="BC9" s="54"/>
      <c r="BD9" s="54"/>
    </row>
    <row r="10" spans="1:56" s="32" customFormat="1" ht="19.899999999999999" x14ac:dyDescent="0.5">
      <c r="A10" s="30"/>
      <c r="B10" s="30"/>
      <c r="C10" s="30"/>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c r="BC10" s="54"/>
      <c r="BD10" s="54"/>
    </row>
    <row r="11" spans="1:56" s="32" customFormat="1" ht="19.899999999999999" x14ac:dyDescent="0.5">
      <c r="A11" s="30"/>
      <c r="B11" s="30"/>
      <c r="C11" s="30"/>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c r="BC11" s="54"/>
      <c r="BD11" s="54"/>
    </row>
    <row r="12" spans="1:56" s="32" customFormat="1" ht="19.899999999999999" x14ac:dyDescent="0.5">
      <c r="A12" s="30"/>
      <c r="B12" s="30"/>
      <c r="C12" s="30"/>
      <c r="D12" s="54"/>
      <c r="E12" s="54"/>
      <c r="F12" s="54"/>
      <c r="G12" s="54"/>
      <c r="H12" s="54"/>
      <c r="I12" s="54"/>
      <c r="J12" s="54"/>
      <c r="K12" s="54"/>
      <c r="L12" s="54"/>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c r="BC12" s="54"/>
      <c r="BD12" s="54"/>
    </row>
    <row r="13" spans="1:56" s="32" customFormat="1" ht="19.899999999999999" x14ac:dyDescent="0.5">
      <c r="A13" s="30"/>
      <c r="B13" s="30"/>
      <c r="C13" s="30"/>
      <c r="D13" s="54"/>
      <c r="E13" s="54"/>
      <c r="F13" s="54"/>
      <c r="G13" s="54"/>
      <c r="H13" s="54"/>
      <c r="I13" s="54"/>
      <c r="J13" s="54"/>
      <c r="K13" s="54"/>
      <c r="L13" s="54"/>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row>
    <row r="14" spans="1:56" s="32" customFormat="1" ht="19.899999999999999" x14ac:dyDescent="0.5">
      <c r="A14" s="30"/>
      <c r="B14" s="30"/>
      <c r="C14" s="30"/>
      <c r="D14" s="54"/>
      <c r="E14" s="54"/>
      <c r="F14" s="54"/>
      <c r="G14" s="54"/>
      <c r="H14" s="54"/>
      <c r="I14" s="54"/>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c r="BC14" s="54"/>
      <c r="BD14" s="54"/>
    </row>
    <row r="15" spans="1:56" s="32" customFormat="1" ht="19.899999999999999" x14ac:dyDescent="0.5">
      <c r="A15" s="30"/>
      <c r="B15" s="30"/>
      <c r="C15" s="30"/>
      <c r="D15" s="54"/>
      <c r="E15" s="54"/>
      <c r="F15" s="54"/>
      <c r="G15" s="54"/>
      <c r="H15" s="54"/>
      <c r="I15" s="54"/>
      <c r="J15" s="54"/>
      <c r="K15" s="54"/>
      <c r="L15" s="54"/>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c r="BC15" s="54"/>
      <c r="BD15" s="54"/>
    </row>
    <row r="16" spans="1:56" s="32" customFormat="1" ht="19.899999999999999" x14ac:dyDescent="0.5">
      <c r="A16" s="30"/>
      <c r="B16" s="30"/>
      <c r="C16" s="30"/>
      <c r="D16" s="53" t="s">
        <v>161</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row>
    <row r="17" spans="1:56" s="32" customFormat="1" ht="19.899999999999999" x14ac:dyDescent="0.5">
      <c r="A17" s="30"/>
      <c r="B17" s="30"/>
      <c r="C17" s="30"/>
      <c r="D17" s="54"/>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c r="BC17" s="54"/>
      <c r="BD17" s="54"/>
    </row>
    <row r="18" spans="1:56" s="32" customFormat="1" ht="19.899999999999999" x14ac:dyDescent="0.5">
      <c r="A18" s="30"/>
      <c r="B18" s="30"/>
      <c r="C18" s="30"/>
      <c r="D18" s="54"/>
      <c r="E18" s="54"/>
      <c r="F18" s="54"/>
      <c r="G18" s="54"/>
      <c r="H18" s="54"/>
      <c r="I18" s="54"/>
      <c r="J18" s="54"/>
      <c r="K18" s="54"/>
      <c r="L18" s="54"/>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row>
    <row r="19" spans="1:56" s="32" customFormat="1" ht="19.899999999999999" x14ac:dyDescent="0.5">
      <c r="A19" s="30"/>
      <c r="B19" s="30"/>
      <c r="C19" s="30"/>
      <c r="D19" s="54"/>
      <c r="E19" s="54"/>
      <c r="F19" s="54"/>
      <c r="G19" s="54"/>
      <c r="H19" s="54"/>
      <c r="I19" s="54"/>
      <c r="J19" s="54"/>
      <c r="K19" s="54"/>
      <c r="L19" s="54"/>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c r="BC19" s="54"/>
      <c r="BD19" s="54"/>
    </row>
    <row r="20" spans="1:56" s="32" customFormat="1" ht="19.899999999999999" x14ac:dyDescent="0.5">
      <c r="A20" s="30"/>
      <c r="B20" s="30"/>
      <c r="C20" s="30"/>
      <c r="D20" s="54"/>
      <c r="E20" s="54"/>
      <c r="F20" s="54"/>
      <c r="G20" s="54"/>
      <c r="H20" s="54"/>
      <c r="I20" s="54"/>
      <c r="J20" s="54"/>
      <c r="K20" s="54"/>
      <c r="L20" s="54"/>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c r="BC20" s="54"/>
      <c r="BD20" s="54"/>
    </row>
    <row r="21" spans="1:56" s="32" customFormat="1" ht="19.899999999999999" x14ac:dyDescent="0.5">
      <c r="A21" s="30"/>
      <c r="B21" s="30"/>
      <c r="C21" s="30"/>
      <c r="D21" s="54"/>
      <c r="E21" s="54"/>
      <c r="F21" s="54"/>
      <c r="G21" s="54"/>
      <c r="H21" s="54"/>
      <c r="I21" s="54"/>
      <c r="J21" s="54"/>
      <c r="K21" s="54"/>
      <c r="L21" s="54"/>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c r="BC21" s="54"/>
      <c r="BD21" s="54"/>
    </row>
    <row r="22" spans="1:56" s="32" customFormat="1" ht="19.899999999999999" x14ac:dyDescent="0.5">
      <c r="A22" s="30"/>
      <c r="B22" s="30"/>
      <c r="C22" s="30"/>
      <c r="D22" s="54"/>
      <c r="E22" s="54"/>
      <c r="F22" s="54"/>
      <c r="G22" s="54"/>
      <c r="H22" s="54"/>
      <c r="I22" s="54"/>
      <c r="J22" s="54"/>
      <c r="K22" s="54"/>
      <c r="L22" s="54"/>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c r="BC22" s="54"/>
      <c r="BD22" s="54"/>
    </row>
    <row r="23" spans="1:56" s="32" customFormat="1" ht="19.899999999999999" x14ac:dyDescent="0.5">
      <c r="A23" s="30"/>
      <c r="B23" s="30"/>
      <c r="C23" s="30"/>
      <c r="D23" s="54"/>
      <c r="E23" s="54"/>
      <c r="F23" s="54"/>
      <c r="G23" s="54"/>
      <c r="H23" s="54"/>
      <c r="I23" s="54"/>
      <c r="J23" s="54"/>
      <c r="K23" s="54"/>
      <c r="L23" s="54"/>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c r="BC23" s="54"/>
      <c r="BD23" s="54"/>
    </row>
    <row r="24" spans="1:56" s="32" customFormat="1" ht="19.899999999999999" x14ac:dyDescent="0.5">
      <c r="A24" s="30"/>
      <c r="B24" s="30"/>
      <c r="C24" s="30"/>
      <c r="D24" s="54"/>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c r="BC24" s="54"/>
      <c r="BD24" s="54"/>
    </row>
    <row r="25" spans="1:56" s="32" customFormat="1" ht="19.899999999999999" x14ac:dyDescent="0.5">
      <c r="A25" s="30"/>
      <c r="B25" s="30"/>
      <c r="C25" s="30"/>
      <c r="D25" s="54"/>
      <c r="E25" s="54"/>
      <c r="F25" s="54"/>
      <c r="G25" s="54"/>
      <c r="H25" s="54"/>
      <c r="I25" s="54"/>
      <c r="J25" s="54"/>
      <c r="K25" s="54"/>
      <c r="L25" s="54"/>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row>
    <row r="26" spans="1:56" s="32" customFormat="1" ht="19.899999999999999" x14ac:dyDescent="0.5">
      <c r="A26" s="30"/>
      <c r="B26" s="30"/>
      <c r="C26" s="30"/>
      <c r="D26" s="54"/>
      <c r="E26" s="54"/>
      <c r="F26" s="54"/>
      <c r="G26" s="54"/>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c r="BC26" s="54"/>
      <c r="BD26" s="54"/>
    </row>
    <row r="27" spans="1:56" s="32" customFormat="1" ht="19.899999999999999" x14ac:dyDescent="0.5">
      <c r="A27" s="30"/>
      <c r="B27" s="30"/>
      <c r="C27" s="30"/>
      <c r="D27" s="54"/>
      <c r="E27" s="54"/>
      <c r="F27" s="54"/>
      <c r="G27" s="54"/>
      <c r="H27" s="54"/>
      <c r="I27" s="54"/>
      <c r="J27" s="54"/>
      <c r="K27" s="54"/>
      <c r="L27" s="54"/>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row>
    <row r="28" spans="1:56" s="32" customFormat="1" ht="19.899999999999999" x14ac:dyDescent="0.5">
      <c r="A28" s="30"/>
      <c r="B28" s="30"/>
      <c r="C28" s="30"/>
      <c r="D28" s="54"/>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c r="BC28" s="54"/>
      <c r="BD28" s="54"/>
    </row>
    <row r="29" spans="1:56" s="32" customFormat="1" ht="19.899999999999999" x14ac:dyDescent="0.5">
      <c r="A29" s="30"/>
      <c r="B29" s="30"/>
      <c r="C29" s="30"/>
      <c r="D29" s="54"/>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c r="BC29" s="54"/>
      <c r="BD29" s="54"/>
    </row>
    <row r="30" spans="1:56" s="32" customFormat="1" ht="19.899999999999999" x14ac:dyDescent="0.5">
      <c r="A30" s="30"/>
      <c r="B30" s="30"/>
      <c r="C30" s="30"/>
      <c r="D30" s="54"/>
      <c r="E30" s="54"/>
      <c r="F30" s="54"/>
      <c r="G30" s="54"/>
      <c r="H30" s="54"/>
      <c r="I30" s="54"/>
      <c r="J30" s="54"/>
      <c r="K30" s="54"/>
      <c r="L30" s="54"/>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row>
    <row r="31" spans="1:56" s="32" customFormat="1" ht="19.899999999999999" x14ac:dyDescent="0.5">
      <c r="A31" s="30"/>
      <c r="B31" s="30"/>
      <c r="C31" s="30"/>
      <c r="D31" s="54"/>
      <c r="E31" s="54"/>
      <c r="F31" s="54"/>
      <c r="G31" s="54"/>
      <c r="H31" s="54"/>
      <c r="I31" s="54"/>
      <c r="J31" s="54"/>
      <c r="K31" s="54"/>
      <c r="L31" s="54"/>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c r="BC31" s="54"/>
      <c r="BD31" s="54"/>
    </row>
    <row r="32" spans="1:56" s="32" customFormat="1" ht="19.899999999999999" x14ac:dyDescent="0.5">
      <c r="A32" s="30"/>
      <c r="B32" s="30"/>
      <c r="C32" s="30"/>
      <c r="D32" s="54"/>
      <c r="E32" s="54"/>
      <c r="F32" s="54"/>
      <c r="G32" s="54"/>
      <c r="H32" s="54"/>
      <c r="I32" s="54"/>
      <c r="J32" s="54"/>
      <c r="K32" s="54"/>
      <c r="L32" s="54"/>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c r="BC32" s="54"/>
      <c r="BD32" s="54"/>
    </row>
    <row r="33" spans="1:56" s="32" customFormat="1" ht="19.899999999999999" x14ac:dyDescent="0.5">
      <c r="A33" s="30"/>
      <c r="B33" s="30"/>
      <c r="C33" s="30"/>
      <c r="D33" s="54"/>
      <c r="E33" s="54"/>
      <c r="F33" s="54"/>
      <c r="G33" s="54"/>
      <c r="H33" s="54"/>
      <c r="I33" s="54"/>
      <c r="J33" s="54"/>
      <c r="K33" s="54"/>
      <c r="L33" s="54"/>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c r="BC33" s="54"/>
      <c r="BD33" s="54"/>
    </row>
    <row r="34" spans="1:56" s="32" customFormat="1" ht="19.899999999999999" x14ac:dyDescent="0.5">
      <c r="A34" s="30"/>
      <c r="B34" s="30"/>
      <c r="C34" s="30"/>
      <c r="D34" s="54"/>
      <c r="E34" s="54"/>
      <c r="F34" s="54"/>
      <c r="G34" s="54"/>
      <c r="H34" s="54"/>
      <c r="I34" s="54"/>
      <c r="J34" s="54"/>
      <c r="K34" s="54"/>
      <c r="L34" s="54"/>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c r="BC34" s="54"/>
      <c r="BD34" s="54"/>
    </row>
    <row r="35" spans="1:56" s="32" customFormat="1" ht="19.899999999999999" x14ac:dyDescent="0.5">
      <c r="A35" s="30"/>
      <c r="B35" s="30"/>
      <c r="C35" s="30"/>
      <c r="D35" s="54"/>
      <c r="E35" s="54"/>
      <c r="F35" s="54"/>
      <c r="G35" s="54"/>
      <c r="H35" s="54"/>
      <c r="I35" s="54"/>
      <c r="J35" s="54"/>
      <c r="K35" s="54"/>
      <c r="L35" s="54"/>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c r="BC35" s="54"/>
      <c r="BD35" s="54"/>
    </row>
    <row r="36" spans="1:56" s="32" customFormat="1" ht="19.899999999999999" x14ac:dyDescent="0.5">
      <c r="A36" s="30"/>
      <c r="B36" s="30"/>
      <c r="C36" s="30"/>
      <c r="D36" s="54"/>
      <c r="E36" s="54"/>
      <c r="F36" s="54"/>
      <c r="G36" s="54"/>
      <c r="H36" s="54"/>
      <c r="I36" s="54"/>
      <c r="J36" s="54"/>
      <c r="K36" s="54"/>
      <c r="L36" s="54"/>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row>
    <row r="37" spans="1:56" s="32" customFormat="1" ht="19.899999999999999" x14ac:dyDescent="0.5">
      <c r="A37" s="30"/>
      <c r="B37" s="30"/>
      <c r="C37" s="30"/>
      <c r="D37" s="54"/>
      <c r="E37" s="54"/>
      <c r="F37" s="54"/>
      <c r="G37" s="54"/>
      <c r="H37" s="54"/>
      <c r="I37" s="54"/>
      <c r="J37" s="54"/>
      <c r="K37" s="54"/>
      <c r="L37" s="54"/>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c r="BC37" s="54"/>
      <c r="BD37" s="54"/>
    </row>
    <row r="38" spans="1:56" s="32" customFormat="1" ht="19.899999999999999" x14ac:dyDescent="0.5">
      <c r="A38" s="30"/>
      <c r="B38" s="30"/>
      <c r="C38" s="30"/>
      <c r="D38" s="54"/>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row>
    <row r="39" spans="1:56" s="32" customFormat="1" ht="19.899999999999999" x14ac:dyDescent="0.5">
      <c r="A39" s="30"/>
      <c r="B39" s="30"/>
      <c r="C39" s="30"/>
      <c r="D39" s="54"/>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row>
    <row r="40" spans="1:56" s="32" customFormat="1" ht="19.899999999999999" x14ac:dyDescent="0.5">
      <c r="A40" s="30"/>
      <c r="B40" s="30"/>
      <c r="C40" s="30"/>
      <c r="D40" s="54"/>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c r="BC40" s="54"/>
      <c r="BD40" s="54"/>
    </row>
    <row r="41" spans="1:56" s="32" customFormat="1" ht="19.899999999999999" x14ac:dyDescent="0.5">
      <c r="A41" s="30"/>
      <c r="B41" s="30"/>
      <c r="C41" s="30"/>
      <c r="D41" s="54"/>
      <c r="E41" s="54"/>
      <c r="F41" s="54"/>
      <c r="G41" s="54"/>
      <c r="H41" s="54"/>
      <c r="I41" s="54"/>
      <c r="J41" s="54"/>
      <c r="K41" s="54"/>
      <c r="L41" s="54"/>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c r="BC41" s="54"/>
      <c r="BD41" s="54"/>
    </row>
    <row r="42" spans="1:56" s="32" customFormat="1" ht="19.899999999999999" x14ac:dyDescent="0.5">
      <c r="A42" s="30"/>
      <c r="B42" s="30"/>
      <c r="C42" s="30"/>
      <c r="D42" s="54"/>
      <c r="E42" s="54"/>
      <c r="F42" s="54"/>
      <c r="G42" s="54"/>
      <c r="H42" s="54"/>
      <c r="I42" s="54"/>
      <c r="J42" s="54"/>
      <c r="K42" s="54"/>
      <c r="L42" s="54"/>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row>
    <row r="43" spans="1:56" s="32" customFormat="1" ht="19.899999999999999" x14ac:dyDescent="0.5">
      <c r="A43" s="30"/>
      <c r="B43" s="30"/>
      <c r="C43" s="30"/>
      <c r="D43" s="54"/>
      <c r="E43" s="54"/>
      <c r="F43" s="54"/>
      <c r="G43" s="54"/>
      <c r="H43" s="54"/>
      <c r="I43" s="54"/>
      <c r="J43" s="54"/>
      <c r="K43" s="54"/>
      <c r="L43" s="54"/>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c r="BC43" s="54"/>
      <c r="BD43" s="54"/>
    </row>
    <row r="44" spans="1:56" s="32" customFormat="1" ht="19.899999999999999" x14ac:dyDescent="0.5">
      <c r="A44" s="30"/>
      <c r="B44" s="30"/>
      <c r="C44" s="30"/>
      <c r="D44" s="54"/>
      <c r="E44" s="54"/>
      <c r="F44" s="54"/>
      <c r="G44" s="54"/>
      <c r="H44" s="54"/>
      <c r="I44" s="54"/>
      <c r="J44" s="54"/>
      <c r="K44" s="54"/>
      <c r="L44" s="54"/>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c r="BC44" s="54"/>
      <c r="BD44" s="54"/>
    </row>
    <row r="45" spans="1:56" s="32" customFormat="1" ht="19.899999999999999" x14ac:dyDescent="0.5">
      <c r="A45" s="30"/>
      <c r="B45" s="30"/>
      <c r="C45" s="30"/>
      <c r="D45" s="54"/>
      <c r="E45" s="54"/>
      <c r="F45" s="54"/>
      <c r="G45" s="54"/>
      <c r="H45" s="54"/>
      <c r="I45" s="54"/>
      <c r="J45" s="54"/>
      <c r="K45" s="54"/>
      <c r="L45" s="54"/>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row>
    <row r="46" spans="1:56" s="32" customFormat="1" ht="19.899999999999999" x14ac:dyDescent="0.5">
      <c r="A46" s="30"/>
      <c r="B46" s="30"/>
      <c r="C46" s="30"/>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c r="BC46" s="54"/>
      <c r="BD46" s="54"/>
    </row>
    <row r="47" spans="1:56" s="32" customFormat="1" ht="19.899999999999999" x14ac:dyDescent="0.5">
      <c r="A47" s="30"/>
      <c r="B47" s="30"/>
      <c r="C47" s="30"/>
      <c r="D47" s="54"/>
      <c r="E47" s="54"/>
      <c r="F47" s="54"/>
      <c r="G47" s="54"/>
      <c r="H47" s="54"/>
      <c r="I47" s="54"/>
      <c r="J47" s="54"/>
      <c r="K47" s="54"/>
      <c r="L47" s="54"/>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c r="BC47" s="54"/>
      <c r="BD47" s="54"/>
    </row>
    <row r="48" spans="1:56" s="32" customFormat="1" ht="19.899999999999999" x14ac:dyDescent="0.5">
      <c r="A48" s="30"/>
      <c r="B48" s="30"/>
      <c r="C48" s="30"/>
      <c r="D48" s="54"/>
      <c r="E48" s="54"/>
      <c r="F48" s="54"/>
      <c r="G48" s="54"/>
      <c r="H48" s="54"/>
      <c r="I48" s="54"/>
      <c r="J48" s="54"/>
      <c r="K48" s="54"/>
      <c r="L48" s="54"/>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c r="BC48" s="54"/>
      <c r="BD48" s="54"/>
    </row>
    <row r="49" spans="1:56" s="32" customFormat="1" ht="19.899999999999999" x14ac:dyDescent="0.5">
      <c r="A49" s="30"/>
      <c r="B49" s="30"/>
      <c r="C49" s="30"/>
      <c r="D49" s="54"/>
      <c r="E49" s="54"/>
      <c r="F49" s="54"/>
      <c r="G49" s="54"/>
      <c r="H49" s="54"/>
      <c r="I49" s="54"/>
      <c r="J49" s="54"/>
      <c r="K49" s="54"/>
      <c r="L49" s="54"/>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c r="BC49" s="54"/>
      <c r="BD49" s="54"/>
    </row>
    <row r="50" spans="1:56" s="32" customFormat="1" ht="19.899999999999999" x14ac:dyDescent="0.5">
      <c r="A50" s="30"/>
      <c r="B50" s="30"/>
      <c r="C50" s="30"/>
      <c r="D50" s="54"/>
      <c r="E50" s="54"/>
      <c r="F50" s="54"/>
      <c r="G50" s="54"/>
      <c r="H50" s="54"/>
      <c r="I50" s="54"/>
      <c r="J50" s="54"/>
      <c r="K50" s="54"/>
      <c r="L50" s="54"/>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c r="BC50" s="54"/>
      <c r="BD50" s="54"/>
    </row>
    <row r="51" spans="1:56" s="32" customFormat="1" ht="19.899999999999999" x14ac:dyDescent="0.5">
      <c r="A51" s="30"/>
      <c r="B51" s="30"/>
      <c r="C51" s="30"/>
      <c r="D51" s="54"/>
      <c r="E51" s="54"/>
      <c r="F51" s="54"/>
      <c r="G51" s="54"/>
      <c r="H51" s="54"/>
      <c r="I51" s="54"/>
      <c r="J51" s="54"/>
      <c r="K51" s="54"/>
      <c r="L51" s="54"/>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row>
    <row r="52" spans="1:56" s="32" customFormat="1" ht="19.899999999999999" x14ac:dyDescent="0.5">
      <c r="A52" s="30"/>
      <c r="B52" s="30"/>
      <c r="C52" s="30"/>
      <c r="D52" s="54"/>
      <c r="E52" s="54"/>
      <c r="F52" s="54"/>
      <c r="G52" s="54"/>
      <c r="H52" s="54"/>
      <c r="I52" s="54"/>
      <c r="J52" s="54"/>
      <c r="K52" s="54"/>
      <c r="L52" s="54"/>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c r="BC52" s="54"/>
      <c r="BD52" s="54"/>
    </row>
    <row r="53" spans="1:56" s="32" customFormat="1" ht="19.899999999999999" x14ac:dyDescent="0.5">
      <c r="A53" s="30"/>
      <c r="B53" s="30"/>
      <c r="C53" s="30"/>
      <c r="D53" s="54"/>
      <c r="E53" s="54"/>
      <c r="F53" s="54"/>
      <c r="G53" s="54"/>
      <c r="H53" s="54"/>
      <c r="I53" s="54"/>
      <c r="J53" s="54"/>
      <c r="K53" s="54"/>
      <c r="L53" s="54"/>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c r="BC53" s="54"/>
      <c r="BD53" s="54"/>
    </row>
    <row r="54" spans="1:56" s="32" customFormat="1" ht="19.899999999999999" x14ac:dyDescent="0.5">
      <c r="A54" s="30"/>
      <c r="B54" s="30"/>
      <c r="C54" s="30"/>
      <c r="D54" s="54"/>
      <c r="E54" s="54"/>
      <c r="F54" s="54"/>
      <c r="G54" s="54"/>
      <c r="H54" s="54"/>
      <c r="I54" s="54"/>
      <c r="J54" s="54"/>
      <c r="K54" s="54"/>
      <c r="L54" s="54"/>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c r="BC54" s="54"/>
      <c r="BD54" s="54"/>
    </row>
    <row r="55" spans="1:56" s="32" customFormat="1" ht="19.899999999999999" x14ac:dyDescent="0.5">
      <c r="A55" s="30"/>
      <c r="B55" s="30"/>
      <c r="C55" s="30"/>
      <c r="D55" s="54"/>
      <c r="E55" s="54"/>
      <c r="F55" s="54"/>
      <c r="G55" s="54"/>
      <c r="H55" s="54"/>
      <c r="I55" s="54"/>
      <c r="J55" s="54"/>
      <c r="K55" s="54"/>
      <c r="L55" s="54"/>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c r="BC55" s="54"/>
      <c r="BD55" s="54"/>
    </row>
    <row r="56" spans="1:56" s="32" customFormat="1" ht="19.899999999999999" x14ac:dyDescent="0.5">
      <c r="A56" s="30"/>
      <c r="B56" s="30"/>
      <c r="C56" s="30"/>
      <c r="D56" s="54"/>
      <c r="E56" s="54"/>
      <c r="F56" s="54"/>
      <c r="G56" s="54"/>
      <c r="H56" s="54"/>
      <c r="I56" s="54"/>
      <c r="J56" s="54"/>
      <c r="K56" s="54"/>
      <c r="L56" s="54"/>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c r="BC56" s="54"/>
      <c r="BD56" s="54"/>
    </row>
    <row r="57" spans="1:56" s="32" customFormat="1" ht="19.899999999999999" x14ac:dyDescent="0.5">
      <c r="A57" s="30"/>
      <c r="B57" s="30"/>
      <c r="C57" s="30"/>
      <c r="D57" s="54"/>
      <c r="E57" s="54"/>
      <c r="F57" s="54"/>
      <c r="G57" s="54"/>
      <c r="H57" s="54"/>
      <c r="I57" s="54"/>
      <c r="J57" s="54"/>
      <c r="K57" s="54"/>
      <c r="L57" s="54"/>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row>
    <row r="58" spans="1:56" s="32" customFormat="1" ht="19.899999999999999" x14ac:dyDescent="0.5">
      <c r="A58" s="30"/>
      <c r="B58" s="30"/>
      <c r="C58" s="30"/>
      <c r="D58" s="54"/>
      <c r="E58" s="54"/>
      <c r="F58" s="54"/>
      <c r="G58" s="54"/>
      <c r="H58" s="54"/>
      <c r="I58" s="54"/>
      <c r="J58" s="54"/>
      <c r="K58" s="54"/>
      <c r="L58" s="54"/>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c r="BC58" s="54"/>
      <c r="BD58" s="54"/>
    </row>
    <row r="59" spans="1:56" s="32" customFormat="1" ht="19.899999999999999" x14ac:dyDescent="0.5">
      <c r="A59" s="30"/>
      <c r="B59" s="30"/>
      <c r="C59" s="30"/>
      <c r="D59" s="54"/>
      <c r="E59" s="54"/>
      <c r="F59" s="54"/>
      <c r="G59" s="54"/>
      <c r="H59" s="54"/>
      <c r="I59" s="54"/>
      <c r="J59" s="54"/>
      <c r="K59" s="54"/>
      <c r="L59" s="54"/>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c r="BC59" s="54"/>
      <c r="BD59" s="54"/>
    </row>
    <row r="60" spans="1:56" s="32" customFormat="1" ht="19.899999999999999" x14ac:dyDescent="0.5">
      <c r="A60" s="30"/>
      <c r="B60" s="30"/>
      <c r="C60" s="30"/>
      <c r="D60" s="54"/>
      <c r="E60" s="54"/>
      <c r="F60" s="54"/>
      <c r="G60" s="54"/>
      <c r="H60" s="54"/>
      <c r="I60" s="54"/>
      <c r="J60" s="54"/>
      <c r="K60" s="54"/>
      <c r="L60" s="54"/>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c r="BC60" s="54"/>
      <c r="BD60" s="54"/>
    </row>
    <row r="61" spans="1:56" s="32" customFormat="1" ht="19.899999999999999" x14ac:dyDescent="0.5">
      <c r="A61" s="30"/>
      <c r="B61" s="30"/>
      <c r="C61" s="30"/>
      <c r="D61" s="54"/>
      <c r="E61" s="54"/>
      <c r="F61" s="54"/>
      <c r="G61" s="54"/>
      <c r="H61" s="54"/>
      <c r="I61" s="54"/>
      <c r="J61" s="54"/>
      <c r="K61" s="54"/>
      <c r="L61" s="54"/>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c r="BC61" s="54"/>
      <c r="BD61" s="54"/>
    </row>
    <row r="62" spans="1:56" s="32" customFormat="1" ht="19.899999999999999" x14ac:dyDescent="0.5">
      <c r="A62" s="30"/>
      <c r="B62" s="30"/>
      <c r="C62" s="30"/>
      <c r="D62" s="54"/>
      <c r="E62" s="54"/>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row>
    <row r="63" spans="1:56" s="32" customFormat="1" ht="19.899999999999999" x14ac:dyDescent="0.5">
      <c r="A63" s="30"/>
      <c r="B63" s="30"/>
      <c r="C63" s="30"/>
      <c r="D63" s="54"/>
      <c r="E63" s="54"/>
      <c r="F63" s="54"/>
      <c r="G63" s="54"/>
      <c r="H63" s="54"/>
      <c r="I63" s="54"/>
      <c r="J63" s="54"/>
      <c r="K63" s="54"/>
      <c r="L63" s="54"/>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c r="BC63" s="54"/>
      <c r="BD63" s="54"/>
    </row>
    <row r="64" spans="1:56" s="32" customFormat="1" ht="19.899999999999999" x14ac:dyDescent="0.5">
      <c r="A64" s="30"/>
      <c r="B64" s="30"/>
      <c r="C64" s="30"/>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row>
    <row r="65" spans="1:56" s="32" customFormat="1" ht="19.899999999999999" x14ac:dyDescent="0.5">
      <c r="A65" s="30"/>
      <c r="B65" s="30"/>
      <c r="C65" s="30"/>
      <c r="D65" s="54"/>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c r="BC65" s="54"/>
      <c r="BD65" s="54"/>
    </row>
    <row r="66" spans="1:56" s="32" customFormat="1" ht="19.899999999999999" x14ac:dyDescent="0.5">
      <c r="A66" s="30"/>
      <c r="B66" s="30"/>
      <c r="C66" s="30"/>
      <c r="D66" s="54"/>
      <c r="E66" s="54"/>
      <c r="F66" s="54"/>
      <c r="G66" s="54"/>
      <c r="H66" s="54"/>
      <c r="I66" s="54"/>
      <c r="J66" s="54"/>
      <c r="K66" s="54"/>
      <c r="L66" s="54"/>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c r="BC66" s="54"/>
      <c r="BD66" s="54"/>
    </row>
    <row r="67" spans="1:56" s="32" customFormat="1" ht="19.899999999999999" x14ac:dyDescent="0.5">
      <c r="A67" s="30"/>
      <c r="B67" s="30"/>
      <c r="C67" s="30"/>
      <c r="D67" s="54"/>
      <c r="E67" s="54"/>
      <c r="F67" s="54"/>
      <c r="G67" s="54"/>
      <c r="H67" s="54"/>
      <c r="I67" s="54"/>
      <c r="J67" s="54"/>
      <c r="K67" s="54"/>
      <c r="L67" s="54"/>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c r="BC67" s="54"/>
      <c r="BD67" s="54"/>
    </row>
    <row r="68" spans="1:56" s="32" customFormat="1" ht="19.899999999999999" x14ac:dyDescent="0.5">
      <c r="A68" s="30"/>
      <c r="B68" s="30"/>
      <c r="C68" s="30"/>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c r="BC68" s="54"/>
      <c r="BD68" s="54"/>
    </row>
    <row r="69" spans="1:56" s="32" customFormat="1" ht="19.899999999999999" x14ac:dyDescent="0.5">
      <c r="A69" s="30"/>
      <c r="B69" s="30"/>
      <c r="C69" s="30"/>
      <c r="D69" s="54"/>
      <c r="E69" s="54"/>
      <c r="F69" s="54"/>
      <c r="G69" s="54"/>
      <c r="H69" s="54"/>
      <c r="I69" s="54"/>
      <c r="J69" s="54"/>
      <c r="K69" s="54"/>
      <c r="L69" s="54"/>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c r="BC69" s="54"/>
      <c r="BD69" s="54"/>
    </row>
    <row r="70" spans="1:56" s="32" customFormat="1" ht="19.899999999999999" x14ac:dyDescent="0.5">
      <c r="A70" s="30"/>
      <c r="B70" s="30"/>
      <c r="C70" s="30"/>
      <c r="D70" s="54"/>
      <c r="E70" s="54"/>
      <c r="F70" s="54"/>
      <c r="G70" s="54"/>
      <c r="H70" s="54"/>
      <c r="I70" s="54"/>
      <c r="J70" s="54"/>
      <c r="K70" s="54"/>
      <c r="L70" s="54"/>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c r="BC70" s="54"/>
      <c r="BD70" s="54"/>
    </row>
    <row r="71" spans="1:56" s="32" customFormat="1" ht="19.899999999999999" x14ac:dyDescent="0.5">
      <c r="A71" s="30"/>
      <c r="B71" s="30"/>
      <c r="C71" s="30"/>
      <c r="D71" s="54"/>
      <c r="E71" s="54"/>
      <c r="F71" s="54"/>
      <c r="G71" s="54"/>
      <c r="H71" s="54"/>
      <c r="I71" s="54"/>
      <c r="J71" s="54"/>
      <c r="K71" s="54"/>
      <c r="L71" s="54"/>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c r="BC71" s="54"/>
      <c r="BD71" s="54"/>
    </row>
    <row r="72" spans="1:56" s="32" customFormat="1" ht="19.899999999999999" x14ac:dyDescent="0.5">
      <c r="A72" s="30"/>
      <c r="B72" s="30"/>
      <c r="C72" s="30"/>
      <c r="D72" s="54"/>
      <c r="E72" s="54"/>
      <c r="F72" s="54"/>
      <c r="G72" s="54"/>
      <c r="H72" s="54"/>
      <c r="I72" s="54"/>
      <c r="J72" s="54"/>
      <c r="K72" s="54"/>
      <c r="L72" s="54"/>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c r="BC72" s="54"/>
      <c r="BD72" s="54"/>
    </row>
    <row r="73" spans="1:56" s="32" customFormat="1" ht="19.899999999999999" x14ac:dyDescent="0.5">
      <c r="A73" s="30"/>
      <c r="B73" s="30"/>
      <c r="C73" s="30"/>
      <c r="D73" s="54"/>
      <c r="E73" s="54"/>
      <c r="F73" s="54"/>
      <c r="G73" s="54"/>
      <c r="H73" s="54"/>
      <c r="I73" s="54"/>
      <c r="J73" s="54"/>
      <c r="K73" s="54"/>
      <c r="L73" s="54"/>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c r="BC73" s="54"/>
      <c r="BD73" s="54"/>
    </row>
    <row r="74" spans="1:56" s="32" customFormat="1" ht="19.899999999999999" x14ac:dyDescent="0.5">
      <c r="A74" s="30"/>
      <c r="B74" s="30"/>
      <c r="C74" s="30"/>
      <c r="D74" s="54"/>
      <c r="E74" s="54"/>
      <c r="F74" s="54"/>
      <c r="G74" s="54"/>
      <c r="H74" s="54"/>
      <c r="I74" s="54"/>
      <c r="J74" s="54"/>
      <c r="K74" s="54"/>
      <c r="L74" s="54"/>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c r="BC74" s="54"/>
      <c r="BD74" s="54"/>
    </row>
    <row r="75" spans="1:56" s="32" customFormat="1" ht="19.899999999999999" x14ac:dyDescent="0.5">
      <c r="A75" s="30"/>
      <c r="B75" s="30"/>
      <c r="C75" s="30"/>
      <c r="D75" s="54"/>
      <c r="E75" s="54"/>
      <c r="F75" s="54"/>
      <c r="G75" s="54"/>
      <c r="H75" s="54"/>
      <c r="I75" s="54"/>
      <c r="J75" s="54"/>
      <c r="K75" s="54"/>
      <c r="L75" s="54"/>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c r="BC75" s="54"/>
      <c r="BD75" s="54"/>
    </row>
    <row r="76" spans="1:56" s="32" customFormat="1" ht="19.899999999999999" x14ac:dyDescent="0.5">
      <c r="A76" s="30"/>
      <c r="B76" s="30"/>
      <c r="C76" s="30"/>
      <c r="D76" s="54"/>
      <c r="E76" s="54"/>
      <c r="F76" s="54"/>
      <c r="G76" s="54"/>
      <c r="H76" s="54"/>
      <c r="I76" s="54"/>
      <c r="J76" s="54"/>
      <c r="K76" s="54"/>
      <c r="L76" s="54"/>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c r="BC76" s="54"/>
      <c r="BD76" s="54"/>
    </row>
    <row r="77" spans="1:56" s="32" customFormat="1" ht="19.899999999999999" x14ac:dyDescent="0.5">
      <c r="A77" s="30"/>
      <c r="B77" s="30"/>
      <c r="C77" s="30"/>
      <c r="D77" s="54"/>
      <c r="E77" s="54"/>
      <c r="F77" s="54"/>
      <c r="G77" s="54"/>
      <c r="H77" s="54"/>
      <c r="I77" s="54"/>
      <c r="J77" s="54"/>
      <c r="K77" s="54"/>
      <c r="L77" s="54"/>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c r="BC77" s="54"/>
      <c r="BD77" s="54"/>
    </row>
    <row r="78" spans="1:56" s="32" customFormat="1" ht="19.899999999999999" x14ac:dyDescent="0.5">
      <c r="A78" s="30"/>
      <c r="B78" s="30"/>
      <c r="C78" s="30"/>
      <c r="D78" s="54"/>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c r="BC78" s="54"/>
      <c r="BD78" s="54"/>
    </row>
    <row r="79" spans="1:56" s="32" customFormat="1" ht="19.899999999999999" x14ac:dyDescent="0.5">
      <c r="A79" s="30"/>
      <c r="B79" s="30"/>
      <c r="C79" s="30"/>
      <c r="D79" s="54"/>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c r="BC79" s="54"/>
      <c r="BD79" s="54"/>
    </row>
    <row r="80" spans="1:56" s="32" customFormat="1" ht="19.899999999999999" x14ac:dyDescent="0.5">
      <c r="A80" s="30"/>
      <c r="B80" s="30"/>
      <c r="C80" s="30"/>
      <c r="D80" s="54"/>
      <c r="E80" s="54"/>
      <c r="F80" s="54"/>
      <c r="G80" s="54"/>
      <c r="H80" s="54"/>
      <c r="I80" s="54"/>
      <c r="J80" s="54"/>
      <c r="K80" s="54"/>
      <c r="L80" s="54"/>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c r="BC80" s="54"/>
      <c r="BD80" s="54"/>
    </row>
    <row r="81" spans="1:56" s="32" customFormat="1" ht="19.899999999999999" x14ac:dyDescent="0.5">
      <c r="A81" s="30"/>
      <c r="B81" s="30"/>
      <c r="C81" s="30"/>
      <c r="D81" s="54"/>
      <c r="E81" s="54"/>
      <c r="F81" s="54"/>
      <c r="G81" s="54"/>
      <c r="H81" s="54"/>
      <c r="I81" s="54"/>
      <c r="J81" s="54"/>
      <c r="K81" s="54"/>
      <c r="L81" s="54"/>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c r="BC81" s="54"/>
      <c r="BD81" s="54"/>
    </row>
    <row r="82" spans="1:56" s="32" customFormat="1" ht="19.899999999999999" x14ac:dyDescent="0.5">
      <c r="A82" s="30"/>
      <c r="B82" s="30"/>
      <c r="C82" s="30"/>
      <c r="D82" s="54"/>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c r="BC82" s="54"/>
      <c r="BD82" s="54"/>
    </row>
    <row r="83" spans="1:56" s="32" customFormat="1" ht="19.899999999999999" x14ac:dyDescent="0.5">
      <c r="A83" s="30"/>
      <c r="B83" s="30"/>
      <c r="C83" s="30"/>
      <c r="D83" s="54"/>
      <c r="E83" s="54"/>
      <c r="F83" s="54"/>
      <c r="G83" s="54"/>
      <c r="H83" s="54"/>
      <c r="I83" s="54"/>
      <c r="J83" s="54"/>
      <c r="K83" s="54"/>
      <c r="L83" s="54"/>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c r="BC83" s="54"/>
      <c r="BD83" s="54"/>
    </row>
    <row r="84" spans="1:56" s="32" customFormat="1" ht="19.899999999999999" x14ac:dyDescent="0.5">
      <c r="A84" s="30"/>
      <c r="B84" s="30"/>
      <c r="C84" s="30"/>
      <c r="D84" s="54"/>
      <c r="E84" s="54"/>
      <c r="F84" s="54"/>
      <c r="G84" s="54"/>
      <c r="H84" s="54"/>
      <c r="I84" s="54"/>
      <c r="J84" s="54"/>
      <c r="K84" s="54"/>
      <c r="L84" s="54"/>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c r="BC84" s="54"/>
      <c r="BD84" s="54"/>
    </row>
    <row r="85" spans="1:56" s="32" customFormat="1" ht="19.899999999999999" x14ac:dyDescent="0.5">
      <c r="A85" s="30"/>
      <c r="B85" s="30"/>
      <c r="C85" s="30"/>
      <c r="D85" s="54"/>
      <c r="E85" s="54"/>
      <c r="F85" s="54"/>
      <c r="G85" s="54"/>
      <c r="H85" s="54"/>
      <c r="I85" s="54"/>
      <c r="J85" s="54"/>
      <c r="K85" s="54"/>
      <c r="L85" s="54"/>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c r="BC85" s="54"/>
      <c r="BD85" s="54"/>
    </row>
    <row r="86" spans="1:56" s="32" customFormat="1" ht="19.899999999999999" x14ac:dyDescent="0.5">
      <c r="A86" s="30"/>
      <c r="B86" s="30"/>
      <c r="C86" s="30"/>
      <c r="D86" s="54"/>
      <c r="E86" s="54"/>
      <c r="F86" s="54"/>
      <c r="G86" s="54"/>
      <c r="H86" s="54"/>
      <c r="I86" s="54"/>
      <c r="J86" s="54"/>
      <c r="K86" s="54"/>
      <c r="L86" s="54"/>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c r="BC86" s="54"/>
      <c r="BD86" s="54"/>
    </row>
    <row r="87" spans="1:56" s="32" customFormat="1" ht="19.899999999999999" x14ac:dyDescent="0.5">
      <c r="A87" s="30"/>
      <c r="B87" s="30"/>
      <c r="C87" s="30"/>
      <c r="D87" s="54"/>
      <c r="E87" s="54"/>
      <c r="F87" s="54"/>
      <c r="G87" s="54"/>
      <c r="H87" s="54"/>
      <c r="I87" s="54"/>
      <c r="J87" s="54"/>
      <c r="K87" s="54"/>
      <c r="L87" s="54"/>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c r="BC87" s="54"/>
      <c r="BD87" s="54"/>
    </row>
    <row r="88" spans="1:56" s="32" customFormat="1" ht="19.899999999999999" x14ac:dyDescent="0.5">
      <c r="A88" s="30"/>
      <c r="B88" s="30"/>
      <c r="C88" s="30"/>
      <c r="D88" s="54"/>
      <c r="E88" s="54"/>
      <c r="F88" s="54"/>
      <c r="G88" s="54"/>
      <c r="H88" s="54"/>
      <c r="I88" s="54"/>
      <c r="J88" s="54"/>
      <c r="K88" s="54"/>
      <c r="L88" s="54"/>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c r="BC88" s="54"/>
      <c r="BD88" s="54"/>
    </row>
    <row r="89" spans="1:56" s="32" customFormat="1" ht="19.899999999999999" x14ac:dyDescent="0.5">
      <c r="A89" s="30"/>
      <c r="B89" s="30"/>
      <c r="C89" s="30"/>
      <c r="D89" s="54"/>
      <c r="E89" s="54"/>
      <c r="F89" s="54"/>
      <c r="G89" s="54"/>
      <c r="H89" s="54"/>
      <c r="I89" s="54"/>
      <c r="J89" s="54"/>
      <c r="K89" s="54"/>
      <c r="L89" s="54"/>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54"/>
      <c r="AL89" s="54"/>
      <c r="AM89" s="54"/>
      <c r="AN89" s="54"/>
      <c r="AO89" s="54"/>
      <c r="AP89" s="54"/>
      <c r="AQ89" s="54"/>
      <c r="AR89" s="54"/>
      <c r="AS89" s="54"/>
      <c r="AT89" s="54"/>
      <c r="AU89" s="54"/>
      <c r="AV89" s="54"/>
      <c r="AW89" s="54"/>
      <c r="AX89" s="54"/>
      <c r="AY89" s="54"/>
      <c r="AZ89" s="54"/>
      <c r="BA89" s="54"/>
      <c r="BB89" s="54"/>
      <c r="BC89" s="54"/>
      <c r="BD89" s="54"/>
    </row>
    <row r="90" spans="1:56" s="32" customFormat="1" ht="19.899999999999999" x14ac:dyDescent="0.5">
      <c r="A90" s="30"/>
      <c r="B90" s="30"/>
      <c r="C90" s="30"/>
      <c r="D90" s="54"/>
      <c r="E90" s="54"/>
      <c r="F90" s="54"/>
      <c r="G90" s="54"/>
      <c r="H90" s="54"/>
      <c r="I90" s="54"/>
      <c r="J90" s="54"/>
      <c r="K90" s="54"/>
      <c r="L90" s="54"/>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54"/>
      <c r="AL90" s="54"/>
      <c r="AM90" s="54"/>
      <c r="AN90" s="54"/>
      <c r="AO90" s="54"/>
      <c r="AP90" s="54"/>
      <c r="AQ90" s="54"/>
      <c r="AR90" s="54"/>
      <c r="AS90" s="54"/>
      <c r="AT90" s="54"/>
      <c r="AU90" s="54"/>
      <c r="AV90" s="54"/>
      <c r="AW90" s="54"/>
      <c r="AX90" s="54"/>
      <c r="AY90" s="54"/>
      <c r="AZ90" s="54"/>
      <c r="BA90" s="54"/>
      <c r="BB90" s="54"/>
      <c r="BC90" s="54"/>
      <c r="BD90" s="54"/>
    </row>
    <row r="91" spans="1:56" s="32" customFormat="1" ht="19.899999999999999" x14ac:dyDescent="0.5">
      <c r="A91" s="30"/>
      <c r="B91" s="30"/>
      <c r="C91" s="30"/>
      <c r="D91" s="54"/>
      <c r="E91" s="54"/>
      <c r="F91" s="54"/>
      <c r="G91" s="54"/>
      <c r="H91" s="54"/>
      <c r="I91" s="54"/>
      <c r="J91" s="54"/>
      <c r="K91" s="54"/>
      <c r="L91" s="54"/>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54"/>
      <c r="AL91" s="54"/>
      <c r="AM91" s="54"/>
      <c r="AN91" s="54"/>
      <c r="AO91" s="54"/>
      <c r="AP91" s="54"/>
      <c r="AQ91" s="54"/>
      <c r="AR91" s="54"/>
      <c r="AS91" s="54"/>
      <c r="AT91" s="54"/>
      <c r="AU91" s="54"/>
      <c r="AV91" s="54"/>
      <c r="AW91" s="54"/>
      <c r="AX91" s="54"/>
      <c r="AY91" s="54"/>
      <c r="AZ91" s="54"/>
      <c r="BA91" s="54"/>
      <c r="BB91" s="54"/>
      <c r="BC91" s="54"/>
      <c r="BD91" s="54"/>
    </row>
    <row r="92" spans="1:56" s="32" customFormat="1" ht="19.899999999999999" x14ac:dyDescent="0.5">
      <c r="A92" s="30"/>
      <c r="B92" s="30"/>
      <c r="C92" s="30"/>
      <c r="D92" s="54"/>
      <c r="E92" s="54"/>
      <c r="F92" s="54"/>
      <c r="G92" s="54"/>
      <c r="H92" s="54"/>
      <c r="I92" s="54"/>
      <c r="J92" s="54"/>
      <c r="K92" s="54"/>
      <c r="L92" s="54"/>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54"/>
      <c r="AL92" s="54"/>
      <c r="AM92" s="54"/>
      <c r="AN92" s="54"/>
      <c r="AO92" s="54"/>
      <c r="AP92" s="54"/>
      <c r="AQ92" s="54"/>
      <c r="AR92" s="54"/>
      <c r="AS92" s="54"/>
      <c r="AT92" s="54"/>
      <c r="AU92" s="54"/>
      <c r="AV92" s="54"/>
      <c r="AW92" s="54"/>
      <c r="AX92" s="54"/>
      <c r="AY92" s="54"/>
      <c r="AZ92" s="54"/>
      <c r="BA92" s="54"/>
      <c r="BB92" s="54"/>
      <c r="BC92" s="54"/>
      <c r="BD92" s="54"/>
    </row>
    <row r="93" spans="1:56" s="32" customFormat="1" ht="19.899999999999999" x14ac:dyDescent="0.5">
      <c r="A93" s="30"/>
      <c r="B93" s="30"/>
      <c r="C93" s="30"/>
      <c r="D93" s="54"/>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54"/>
      <c r="AL93" s="54"/>
      <c r="AM93" s="54"/>
      <c r="AN93" s="54"/>
      <c r="AO93" s="54"/>
      <c r="AP93" s="54"/>
      <c r="AQ93" s="54"/>
      <c r="AR93" s="54"/>
      <c r="AS93" s="54"/>
      <c r="AT93" s="54"/>
      <c r="AU93" s="54"/>
      <c r="AV93" s="54"/>
      <c r="AW93" s="54"/>
      <c r="AX93" s="54"/>
      <c r="AY93" s="54"/>
      <c r="AZ93" s="54"/>
      <c r="BA93" s="54"/>
      <c r="BB93" s="54"/>
      <c r="BC93" s="54"/>
      <c r="BD93" s="54"/>
    </row>
    <row r="94" spans="1:56" s="32" customFormat="1" ht="19.899999999999999" x14ac:dyDescent="0.5">
      <c r="A94" s="30"/>
      <c r="B94" s="30"/>
      <c r="C94" s="30"/>
      <c r="D94" s="54"/>
      <c r="E94" s="54"/>
      <c r="F94" s="54"/>
      <c r="G94" s="54"/>
      <c r="H94" s="54"/>
      <c r="I94" s="54"/>
      <c r="J94" s="54"/>
      <c r="K94" s="54"/>
      <c r="L94" s="54"/>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54"/>
      <c r="AL94" s="54"/>
      <c r="AM94" s="54"/>
      <c r="AN94" s="54"/>
      <c r="AO94" s="54"/>
      <c r="AP94" s="54"/>
      <c r="AQ94" s="54"/>
      <c r="AR94" s="54"/>
      <c r="AS94" s="54"/>
      <c r="AT94" s="54"/>
      <c r="AU94" s="54"/>
      <c r="AV94" s="54"/>
      <c r="AW94" s="54"/>
      <c r="AX94" s="54"/>
      <c r="AY94" s="54"/>
      <c r="AZ94" s="54"/>
      <c r="BA94" s="54"/>
      <c r="BB94" s="54"/>
      <c r="BC94" s="54"/>
      <c r="BD94" s="54"/>
    </row>
    <row r="95" spans="1:56" s="32" customFormat="1" ht="19.899999999999999" x14ac:dyDescent="0.5">
      <c r="A95" s="30"/>
      <c r="B95" s="30"/>
      <c r="C95" s="30"/>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row>
    <row r="96" spans="1:56" s="32" customFormat="1" ht="19.899999999999999" x14ac:dyDescent="0.5">
      <c r="A96" s="30"/>
      <c r="B96" s="30"/>
      <c r="C96" s="30"/>
      <c r="D96" s="54"/>
      <c r="E96" s="54"/>
      <c r="F96" s="54"/>
      <c r="G96" s="54"/>
      <c r="H96" s="54"/>
      <c r="I96" s="54"/>
      <c r="J96" s="54"/>
      <c r="K96" s="54"/>
      <c r="L96" s="54"/>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54"/>
      <c r="AL96" s="54"/>
      <c r="AM96" s="54"/>
      <c r="AN96" s="54"/>
      <c r="AO96" s="54"/>
      <c r="AP96" s="54"/>
      <c r="AQ96" s="54"/>
      <c r="AR96" s="54"/>
      <c r="AS96" s="54"/>
      <c r="AT96" s="54"/>
      <c r="AU96" s="54"/>
      <c r="AV96" s="54"/>
      <c r="AW96" s="54"/>
      <c r="AX96" s="54"/>
      <c r="AY96" s="54"/>
      <c r="AZ96" s="54"/>
      <c r="BA96" s="54"/>
      <c r="BB96" s="54"/>
      <c r="BC96" s="54"/>
      <c r="BD96" s="54"/>
    </row>
    <row r="97" spans="1:56" s="32" customFormat="1" ht="19.899999999999999" x14ac:dyDescent="0.5">
      <c r="A97" s="30"/>
      <c r="B97" s="30"/>
      <c r="C97" s="30"/>
      <c r="D97" s="54"/>
      <c r="E97" s="54"/>
      <c r="F97" s="54"/>
      <c r="G97" s="54"/>
      <c r="H97" s="54"/>
      <c r="I97" s="54"/>
      <c r="J97" s="54"/>
      <c r="K97" s="54"/>
      <c r="L97" s="54"/>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54"/>
      <c r="AL97" s="54"/>
      <c r="AM97" s="54"/>
      <c r="AN97" s="54"/>
      <c r="AO97" s="54"/>
      <c r="AP97" s="54"/>
      <c r="AQ97" s="54"/>
      <c r="AR97" s="54"/>
      <c r="AS97" s="54"/>
      <c r="AT97" s="54"/>
      <c r="AU97" s="54"/>
      <c r="AV97" s="54"/>
      <c r="AW97" s="54"/>
      <c r="AX97" s="54"/>
      <c r="AY97" s="54"/>
      <c r="AZ97" s="54"/>
      <c r="BA97" s="54"/>
      <c r="BB97" s="54"/>
      <c r="BC97" s="54"/>
      <c r="BD97" s="54"/>
    </row>
    <row r="98" spans="1:56" s="32" customFormat="1" ht="19.899999999999999" x14ac:dyDescent="0.5">
      <c r="A98" s="30"/>
      <c r="B98" s="30"/>
      <c r="C98" s="30"/>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row>
    <row r="99" spans="1:56" s="32" customFormat="1" ht="19.899999999999999" x14ac:dyDescent="0.5">
      <c r="A99" s="30"/>
      <c r="B99" s="30"/>
      <c r="C99" s="30"/>
      <c r="D99" s="54"/>
      <c r="E99" s="54"/>
      <c r="F99" s="54"/>
      <c r="G99" s="54"/>
      <c r="H99" s="54"/>
      <c r="I99" s="54"/>
      <c r="J99" s="54"/>
      <c r="K99" s="54"/>
      <c r="L99" s="54"/>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54"/>
      <c r="AL99" s="54"/>
      <c r="AM99" s="54"/>
      <c r="AN99" s="54"/>
      <c r="AO99" s="54"/>
      <c r="AP99" s="54"/>
      <c r="AQ99" s="54"/>
      <c r="AR99" s="54"/>
      <c r="AS99" s="54"/>
      <c r="AT99" s="54"/>
      <c r="AU99" s="54"/>
      <c r="AV99" s="54"/>
      <c r="AW99" s="54"/>
      <c r="AX99" s="54"/>
      <c r="AY99" s="54"/>
      <c r="AZ99" s="54"/>
      <c r="BA99" s="54"/>
      <c r="BB99" s="54"/>
      <c r="BC99" s="54"/>
      <c r="BD99" s="54"/>
    </row>
    <row r="100" spans="1:56" s="32" customFormat="1" ht="19.899999999999999" x14ac:dyDescent="0.5">
      <c r="A100" s="30"/>
      <c r="B100" s="30"/>
      <c r="C100" s="30"/>
      <c r="D100" s="54"/>
      <c r="E100" s="54"/>
      <c r="F100" s="54"/>
      <c r="G100" s="54"/>
      <c r="H100" s="54"/>
      <c r="I100" s="54"/>
      <c r="J100" s="54"/>
      <c r="K100" s="54"/>
      <c r="L100" s="54"/>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54"/>
      <c r="AL100" s="54"/>
      <c r="AM100" s="54"/>
      <c r="AN100" s="54"/>
      <c r="AO100" s="54"/>
      <c r="AP100" s="54"/>
      <c r="AQ100" s="54"/>
      <c r="AR100" s="54"/>
      <c r="AS100" s="54"/>
      <c r="AT100" s="54"/>
      <c r="AU100" s="54"/>
      <c r="AV100" s="54"/>
      <c r="AW100" s="54"/>
      <c r="AX100" s="54"/>
      <c r="AY100" s="54"/>
      <c r="AZ100" s="54"/>
      <c r="BA100" s="54"/>
      <c r="BB100" s="54"/>
      <c r="BC100" s="54"/>
      <c r="BD100" s="54"/>
    </row>
    <row r="101" spans="1:56" s="32" customFormat="1" ht="19.899999999999999" x14ac:dyDescent="0.5">
      <c r="A101" s="30"/>
      <c r="B101" s="30"/>
      <c r="C101" s="30"/>
      <c r="D101" s="54"/>
      <c r="E101" s="54"/>
      <c r="F101" s="54"/>
      <c r="G101" s="54"/>
      <c r="H101" s="54"/>
      <c r="I101" s="54"/>
      <c r="J101" s="54"/>
      <c r="K101" s="54"/>
      <c r="L101" s="54"/>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54"/>
      <c r="AL101" s="54"/>
      <c r="AM101" s="54"/>
      <c r="AN101" s="54"/>
      <c r="AO101" s="54"/>
      <c r="AP101" s="54"/>
      <c r="AQ101" s="54"/>
      <c r="AR101" s="54"/>
      <c r="AS101" s="54"/>
      <c r="AT101" s="54"/>
      <c r="AU101" s="54"/>
      <c r="AV101" s="54"/>
      <c r="AW101" s="54"/>
      <c r="AX101" s="54"/>
      <c r="AY101" s="54"/>
      <c r="AZ101" s="54"/>
      <c r="BA101" s="54"/>
      <c r="BB101" s="54"/>
      <c r="BC101" s="54"/>
      <c r="BD101" s="54"/>
    </row>
    <row r="102" spans="1:56" s="32" customFormat="1" ht="19.899999999999999" x14ac:dyDescent="0.5">
      <c r="A102" s="30"/>
      <c r="B102" s="30"/>
      <c r="C102" s="30"/>
      <c r="D102" s="54"/>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54"/>
      <c r="AL102" s="54"/>
      <c r="AM102" s="54"/>
      <c r="AN102" s="54"/>
      <c r="AO102" s="54"/>
      <c r="AP102" s="54"/>
      <c r="AQ102" s="54"/>
      <c r="AR102" s="54"/>
      <c r="AS102" s="54"/>
      <c r="AT102" s="54"/>
      <c r="AU102" s="54"/>
      <c r="AV102" s="54"/>
      <c r="AW102" s="54"/>
      <c r="AX102" s="54"/>
      <c r="AY102" s="54"/>
      <c r="AZ102" s="54"/>
      <c r="BA102" s="54"/>
      <c r="BB102" s="54"/>
      <c r="BC102" s="54"/>
      <c r="BD102" s="54"/>
    </row>
    <row r="103" spans="1:56" s="32" customFormat="1" ht="19.899999999999999" x14ac:dyDescent="0.5">
      <c r="A103" s="30"/>
      <c r="B103" s="30"/>
      <c r="C103" s="30"/>
      <c r="D103" s="54"/>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54"/>
      <c r="AL103" s="54"/>
      <c r="AM103" s="54"/>
      <c r="AN103" s="54"/>
      <c r="AO103" s="54"/>
      <c r="AP103" s="54"/>
      <c r="AQ103" s="54"/>
      <c r="AR103" s="54"/>
      <c r="AS103" s="54"/>
      <c r="AT103" s="54"/>
      <c r="AU103" s="54"/>
      <c r="AV103" s="54"/>
      <c r="AW103" s="54"/>
      <c r="AX103" s="54"/>
      <c r="AY103" s="54"/>
      <c r="AZ103" s="54"/>
      <c r="BA103" s="54"/>
      <c r="BB103" s="54"/>
      <c r="BC103" s="54"/>
      <c r="BD103" s="54"/>
    </row>
    <row r="104" spans="1:56" s="32" customFormat="1" ht="19.899999999999999" x14ac:dyDescent="0.5">
      <c r="A104" s="30"/>
      <c r="B104" s="30"/>
      <c r="C104" s="30"/>
      <c r="D104" s="54"/>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54"/>
      <c r="AL104" s="54"/>
      <c r="AM104" s="54"/>
      <c r="AN104" s="54"/>
      <c r="AO104" s="54"/>
      <c r="AP104" s="54"/>
      <c r="AQ104" s="54"/>
      <c r="AR104" s="54"/>
      <c r="AS104" s="54"/>
      <c r="AT104" s="54"/>
      <c r="AU104" s="54"/>
      <c r="AV104" s="54"/>
      <c r="AW104" s="54"/>
      <c r="AX104" s="54"/>
      <c r="AY104" s="54"/>
      <c r="AZ104" s="54"/>
      <c r="BA104" s="54"/>
      <c r="BB104" s="54"/>
      <c r="BC104" s="54"/>
      <c r="BD104" s="54"/>
    </row>
    <row r="105" spans="1:56" s="32" customFormat="1" ht="19.899999999999999" x14ac:dyDescent="0.5">
      <c r="A105" s="30"/>
      <c r="B105" s="30"/>
      <c r="C105" s="30"/>
      <c r="D105" s="54"/>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54"/>
      <c r="AL105" s="54"/>
      <c r="AM105" s="54"/>
      <c r="AN105" s="54"/>
      <c r="AO105" s="54"/>
      <c r="AP105" s="54"/>
      <c r="AQ105" s="54"/>
      <c r="AR105" s="54"/>
      <c r="AS105" s="54"/>
      <c r="AT105" s="54"/>
      <c r="AU105" s="54"/>
      <c r="AV105" s="54"/>
      <c r="AW105" s="54"/>
      <c r="AX105" s="54"/>
      <c r="AY105" s="54"/>
      <c r="AZ105" s="54"/>
      <c r="BA105" s="54"/>
      <c r="BB105" s="54"/>
      <c r="BC105" s="54"/>
      <c r="BD105" s="54"/>
    </row>
    <row r="106" spans="1:56" s="32" customFormat="1" ht="19.899999999999999" x14ac:dyDescent="0.5">
      <c r="A106" s="30"/>
      <c r="B106" s="30"/>
      <c r="C106" s="30"/>
      <c r="D106" s="54"/>
      <c r="E106" s="54"/>
      <c r="F106" s="54"/>
      <c r="G106" s="54"/>
      <c r="H106" s="54"/>
      <c r="I106" s="54"/>
      <c r="J106" s="54"/>
      <c r="K106" s="54"/>
      <c r="L106" s="54"/>
      <c r="M106" s="54"/>
      <c r="N106" s="54"/>
      <c r="O106" s="54"/>
      <c r="P106" s="54"/>
      <c r="Q106" s="54"/>
      <c r="R106" s="54"/>
      <c r="S106" s="54"/>
      <c r="T106" s="54"/>
      <c r="U106" s="54"/>
      <c r="V106" s="54"/>
      <c r="W106" s="54"/>
      <c r="X106" s="54"/>
      <c r="Y106" s="54"/>
      <c r="Z106" s="54"/>
      <c r="AA106" s="54"/>
      <c r="AB106" s="54"/>
      <c r="AC106" s="54"/>
      <c r="AD106" s="54"/>
      <c r="AE106" s="54"/>
      <c r="AF106" s="54"/>
      <c r="AG106" s="54"/>
      <c r="AH106" s="54"/>
      <c r="AI106" s="54"/>
      <c r="AJ106" s="54"/>
      <c r="AK106" s="54"/>
      <c r="AL106" s="54"/>
      <c r="AM106" s="54"/>
      <c r="AN106" s="54"/>
      <c r="AO106" s="54"/>
      <c r="AP106" s="54"/>
      <c r="AQ106" s="54"/>
      <c r="AR106" s="54"/>
      <c r="AS106" s="54"/>
      <c r="AT106" s="54"/>
      <c r="AU106" s="54"/>
      <c r="AV106" s="54"/>
      <c r="AW106" s="54"/>
      <c r="AX106" s="54"/>
      <c r="AY106" s="54"/>
      <c r="AZ106" s="54"/>
      <c r="BA106" s="54"/>
      <c r="BB106" s="54"/>
      <c r="BC106" s="54"/>
      <c r="BD106" s="54"/>
    </row>
    <row r="107" spans="1:56" s="32" customFormat="1" ht="19.899999999999999" x14ac:dyDescent="0.5">
      <c r="A107" s="30"/>
      <c r="B107" s="30"/>
      <c r="C107" s="30"/>
      <c r="D107" s="54"/>
      <c r="E107" s="54"/>
      <c r="F107" s="54"/>
      <c r="G107" s="54"/>
      <c r="H107" s="54"/>
      <c r="I107" s="54"/>
      <c r="J107" s="54"/>
      <c r="K107" s="54"/>
      <c r="L107" s="54"/>
      <c r="M107" s="54"/>
      <c r="N107" s="54"/>
      <c r="O107" s="54"/>
      <c r="P107" s="54"/>
      <c r="Q107" s="54"/>
      <c r="R107" s="54"/>
      <c r="S107" s="54"/>
      <c r="T107" s="54"/>
      <c r="U107" s="54"/>
      <c r="V107" s="54"/>
      <c r="W107" s="54"/>
      <c r="X107" s="54"/>
      <c r="Y107" s="54"/>
      <c r="Z107" s="54"/>
      <c r="AA107" s="54"/>
      <c r="AB107" s="54"/>
      <c r="AC107" s="54"/>
      <c r="AD107" s="54"/>
      <c r="AE107" s="54"/>
      <c r="AF107" s="54"/>
      <c r="AG107" s="54"/>
      <c r="AH107" s="54"/>
      <c r="AI107" s="54"/>
      <c r="AJ107" s="54"/>
      <c r="AK107" s="54"/>
      <c r="AL107" s="54"/>
      <c r="AM107" s="54"/>
      <c r="AN107" s="54"/>
      <c r="AO107" s="54"/>
      <c r="AP107" s="54"/>
      <c r="AQ107" s="54"/>
      <c r="AR107" s="54"/>
      <c r="AS107" s="54"/>
      <c r="AT107" s="54"/>
      <c r="AU107" s="54"/>
      <c r="AV107" s="54"/>
      <c r="AW107" s="54"/>
      <c r="AX107" s="54"/>
      <c r="AY107" s="54"/>
      <c r="AZ107" s="54"/>
      <c r="BA107" s="54"/>
      <c r="BB107" s="54"/>
      <c r="BC107" s="54"/>
      <c r="BD107" s="54"/>
    </row>
    <row r="108" spans="1:56" s="32" customFormat="1" ht="19.899999999999999" x14ac:dyDescent="0.5">
      <c r="A108" s="30"/>
      <c r="B108" s="30"/>
      <c r="C108" s="30"/>
      <c r="D108" s="54"/>
      <c r="E108" s="54"/>
      <c r="F108" s="54"/>
      <c r="G108" s="54"/>
      <c r="H108" s="54"/>
      <c r="I108" s="54"/>
      <c r="J108" s="54"/>
      <c r="K108" s="54"/>
      <c r="L108" s="54"/>
      <c r="M108" s="54"/>
      <c r="N108" s="54"/>
      <c r="O108" s="54"/>
      <c r="P108" s="54"/>
      <c r="Q108" s="54"/>
      <c r="R108" s="54"/>
      <c r="S108" s="54"/>
      <c r="T108" s="54"/>
      <c r="U108" s="54"/>
      <c r="V108" s="54"/>
      <c r="W108" s="54"/>
      <c r="X108" s="54"/>
      <c r="Y108" s="54"/>
      <c r="Z108" s="54"/>
      <c r="AA108" s="54"/>
      <c r="AB108" s="54"/>
      <c r="AC108" s="54"/>
      <c r="AD108" s="54"/>
      <c r="AE108" s="54"/>
      <c r="AF108" s="54"/>
      <c r="AG108" s="54"/>
      <c r="AH108" s="54"/>
      <c r="AI108" s="54"/>
      <c r="AJ108" s="54"/>
      <c r="AK108" s="54"/>
      <c r="AL108" s="54"/>
      <c r="AM108" s="54"/>
      <c r="AN108" s="54"/>
      <c r="AO108" s="54"/>
      <c r="AP108" s="54"/>
      <c r="AQ108" s="54"/>
      <c r="AR108" s="54"/>
      <c r="AS108" s="54"/>
      <c r="AT108" s="54"/>
      <c r="AU108" s="54"/>
      <c r="AV108" s="54"/>
      <c r="AW108" s="54"/>
      <c r="AX108" s="54"/>
      <c r="AY108" s="54"/>
      <c r="AZ108" s="54"/>
      <c r="BA108" s="54"/>
      <c r="BB108" s="54"/>
      <c r="BC108" s="54"/>
      <c r="BD108" s="54"/>
    </row>
    <row r="109" spans="1:56" s="32" customFormat="1" ht="19.899999999999999" x14ac:dyDescent="0.5">
      <c r="A109" s="30"/>
      <c r="B109" s="30"/>
      <c r="C109" s="30"/>
      <c r="D109" s="54"/>
      <c r="E109" s="54"/>
      <c r="F109" s="54"/>
      <c r="G109" s="54"/>
      <c r="H109" s="54"/>
      <c r="I109" s="54"/>
      <c r="J109" s="54"/>
      <c r="K109" s="54"/>
      <c r="L109" s="54"/>
      <c r="M109" s="54"/>
      <c r="N109" s="54"/>
      <c r="O109" s="54"/>
      <c r="P109" s="54"/>
      <c r="Q109" s="54"/>
      <c r="R109" s="54"/>
      <c r="S109" s="54"/>
      <c r="T109" s="54"/>
      <c r="U109" s="54"/>
      <c r="V109" s="54"/>
      <c r="W109" s="54"/>
      <c r="X109" s="54"/>
      <c r="Y109" s="54"/>
      <c r="Z109" s="54"/>
      <c r="AA109" s="54"/>
      <c r="AB109" s="54"/>
      <c r="AC109" s="54"/>
      <c r="AD109" s="54"/>
      <c r="AE109" s="54"/>
      <c r="AF109" s="54"/>
      <c r="AG109" s="54"/>
      <c r="AH109" s="54"/>
      <c r="AI109" s="54"/>
      <c r="AJ109" s="54"/>
      <c r="AK109" s="54"/>
      <c r="AL109" s="54"/>
      <c r="AM109" s="54"/>
      <c r="AN109" s="54"/>
      <c r="AO109" s="54"/>
      <c r="AP109" s="54"/>
      <c r="AQ109" s="54"/>
      <c r="AR109" s="54"/>
      <c r="AS109" s="54"/>
      <c r="AT109" s="54"/>
      <c r="AU109" s="54"/>
      <c r="AV109" s="54"/>
      <c r="AW109" s="54"/>
      <c r="AX109" s="54"/>
      <c r="AY109" s="54"/>
      <c r="AZ109" s="54"/>
      <c r="BA109" s="54"/>
      <c r="BB109" s="54"/>
      <c r="BC109" s="54"/>
      <c r="BD109" s="54"/>
    </row>
    <row r="110" spans="1:56" s="32" customFormat="1" ht="19.899999999999999" x14ac:dyDescent="0.5">
      <c r="A110" s="30"/>
      <c r="B110" s="30"/>
      <c r="C110" s="30"/>
      <c r="D110" s="54"/>
      <c r="E110" s="54"/>
      <c r="F110" s="54"/>
      <c r="G110" s="54"/>
      <c r="H110" s="54"/>
      <c r="I110" s="54"/>
      <c r="J110" s="54"/>
      <c r="K110" s="54"/>
      <c r="L110" s="54"/>
      <c r="M110" s="54"/>
      <c r="N110" s="54"/>
      <c r="O110" s="54"/>
      <c r="P110" s="54"/>
      <c r="Q110" s="54"/>
      <c r="R110" s="54"/>
      <c r="S110" s="54"/>
      <c r="T110" s="54"/>
      <c r="U110" s="54"/>
      <c r="V110" s="54"/>
      <c r="W110" s="54"/>
      <c r="X110" s="54"/>
      <c r="Y110" s="54"/>
      <c r="Z110" s="54"/>
      <c r="AA110" s="54"/>
      <c r="AB110" s="54"/>
      <c r="AC110" s="54"/>
      <c r="AD110" s="54"/>
      <c r="AE110" s="54"/>
      <c r="AF110" s="54"/>
      <c r="AG110" s="54"/>
      <c r="AH110" s="54"/>
      <c r="AI110" s="54"/>
      <c r="AJ110" s="54"/>
      <c r="AK110" s="54"/>
      <c r="AL110" s="54"/>
      <c r="AM110" s="54"/>
      <c r="AN110" s="54"/>
      <c r="AO110" s="54"/>
      <c r="AP110" s="54"/>
      <c r="AQ110" s="54"/>
      <c r="AR110" s="54"/>
      <c r="AS110" s="54"/>
      <c r="AT110" s="54"/>
      <c r="AU110" s="54"/>
      <c r="AV110" s="54"/>
      <c r="AW110" s="54"/>
      <c r="AX110" s="54"/>
      <c r="AY110" s="54"/>
      <c r="AZ110" s="54"/>
      <c r="BA110" s="54"/>
      <c r="BB110" s="54"/>
      <c r="BC110" s="54"/>
      <c r="BD110" s="54"/>
    </row>
    <row r="111" spans="1:56" s="32" customFormat="1" ht="19.899999999999999" x14ac:dyDescent="0.5">
      <c r="A111" s="30"/>
      <c r="B111" s="30"/>
      <c r="C111" s="30"/>
      <c r="D111" s="54"/>
      <c r="E111" s="54"/>
      <c r="F111" s="54"/>
      <c r="G111" s="54"/>
      <c r="H111" s="54"/>
      <c r="I111" s="54"/>
      <c r="J111" s="54"/>
      <c r="K111" s="54"/>
      <c r="L111" s="54"/>
      <c r="M111" s="54"/>
      <c r="N111" s="54"/>
      <c r="O111" s="54"/>
      <c r="P111" s="54"/>
      <c r="Q111" s="54"/>
      <c r="R111" s="54"/>
      <c r="S111" s="54"/>
      <c r="T111" s="54"/>
      <c r="U111" s="54"/>
      <c r="V111" s="54"/>
      <c r="W111" s="54"/>
      <c r="X111" s="54"/>
      <c r="Y111" s="54"/>
      <c r="Z111" s="54"/>
      <c r="AA111" s="54"/>
      <c r="AB111" s="54"/>
      <c r="AC111" s="54"/>
      <c r="AD111" s="54"/>
      <c r="AE111" s="54"/>
      <c r="AF111" s="54"/>
      <c r="AG111" s="54"/>
      <c r="AH111" s="54"/>
      <c r="AI111" s="54"/>
      <c r="AJ111" s="54"/>
      <c r="AK111" s="54"/>
      <c r="AL111" s="54"/>
      <c r="AM111" s="54"/>
      <c r="AN111" s="54"/>
      <c r="AO111" s="54"/>
      <c r="AP111" s="54"/>
      <c r="AQ111" s="54"/>
      <c r="AR111" s="54"/>
      <c r="AS111" s="54"/>
      <c r="AT111" s="54"/>
      <c r="AU111" s="54"/>
      <c r="AV111" s="54"/>
      <c r="AW111" s="54"/>
      <c r="AX111" s="54"/>
      <c r="AY111" s="54"/>
      <c r="AZ111" s="54"/>
      <c r="BA111" s="54"/>
      <c r="BB111" s="54"/>
      <c r="BC111" s="54"/>
      <c r="BD111" s="54"/>
    </row>
    <row r="112" spans="1:56" s="32" customFormat="1" ht="19.899999999999999" x14ac:dyDescent="0.5">
      <c r="A112" s="30"/>
      <c r="B112" s="30"/>
      <c r="C112" s="30"/>
      <c r="D112" s="54"/>
      <c r="E112" s="54"/>
      <c r="F112" s="54"/>
      <c r="G112" s="54"/>
      <c r="H112" s="54"/>
      <c r="I112" s="54"/>
      <c r="J112" s="54"/>
      <c r="K112" s="54"/>
      <c r="L112" s="54"/>
      <c r="M112" s="54"/>
      <c r="N112" s="54"/>
      <c r="O112" s="54"/>
      <c r="P112" s="54"/>
      <c r="Q112" s="54"/>
      <c r="R112" s="54"/>
      <c r="S112" s="54"/>
      <c r="T112" s="54"/>
      <c r="U112" s="54"/>
      <c r="V112" s="54"/>
      <c r="W112" s="54"/>
      <c r="X112" s="54"/>
      <c r="Y112" s="54"/>
      <c r="Z112" s="54"/>
      <c r="AA112" s="54"/>
      <c r="AB112" s="54"/>
      <c r="AC112" s="54"/>
      <c r="AD112" s="54"/>
      <c r="AE112" s="54"/>
      <c r="AF112" s="54"/>
      <c r="AG112" s="54"/>
      <c r="AH112" s="54"/>
      <c r="AI112" s="54"/>
      <c r="AJ112" s="54"/>
      <c r="AK112" s="54"/>
      <c r="AL112" s="54"/>
      <c r="AM112" s="54"/>
      <c r="AN112" s="54"/>
      <c r="AO112" s="54"/>
      <c r="AP112" s="54"/>
      <c r="AQ112" s="54"/>
      <c r="AR112" s="54"/>
      <c r="AS112" s="54"/>
      <c r="AT112" s="54"/>
      <c r="AU112" s="54"/>
      <c r="AV112" s="54"/>
      <c r="AW112" s="54"/>
      <c r="AX112" s="54"/>
      <c r="AY112" s="54"/>
      <c r="AZ112" s="54"/>
      <c r="BA112" s="54"/>
      <c r="BB112" s="54"/>
      <c r="BC112" s="54"/>
      <c r="BD112" s="54"/>
    </row>
    <row r="113" spans="1:56" s="32" customFormat="1" ht="19.899999999999999" x14ac:dyDescent="0.5">
      <c r="A113" s="30"/>
      <c r="B113" s="30"/>
      <c r="C113" s="30"/>
      <c r="D113" s="54"/>
      <c r="E113" s="54"/>
      <c r="F113" s="54"/>
      <c r="G113" s="54"/>
      <c r="H113" s="54"/>
      <c r="I113" s="54"/>
      <c r="J113" s="54"/>
      <c r="K113" s="54"/>
      <c r="L113" s="54"/>
      <c r="M113" s="54"/>
      <c r="N113" s="54"/>
      <c r="O113" s="54"/>
      <c r="P113" s="54"/>
      <c r="Q113" s="54"/>
      <c r="R113" s="54"/>
      <c r="S113" s="54"/>
      <c r="T113" s="54"/>
      <c r="U113" s="54"/>
      <c r="V113" s="54"/>
      <c r="W113" s="54"/>
      <c r="X113" s="54"/>
      <c r="Y113" s="54"/>
      <c r="Z113" s="54"/>
      <c r="AA113" s="54"/>
      <c r="AB113" s="54"/>
      <c r="AC113" s="54"/>
      <c r="AD113" s="54"/>
      <c r="AE113" s="54"/>
      <c r="AF113" s="54"/>
      <c r="AG113" s="54"/>
      <c r="AH113" s="54"/>
      <c r="AI113" s="54"/>
      <c r="AJ113" s="54"/>
      <c r="AK113" s="54"/>
      <c r="AL113" s="54"/>
      <c r="AM113" s="54"/>
      <c r="AN113" s="54"/>
      <c r="AO113" s="54"/>
      <c r="AP113" s="54"/>
      <c r="AQ113" s="54"/>
      <c r="AR113" s="54"/>
      <c r="AS113" s="54"/>
      <c r="AT113" s="54"/>
      <c r="AU113" s="54"/>
      <c r="AV113" s="54"/>
      <c r="AW113" s="54"/>
      <c r="AX113" s="54"/>
      <c r="AY113" s="54"/>
      <c r="AZ113" s="54"/>
      <c r="BA113" s="54"/>
      <c r="BB113" s="54"/>
      <c r="BC113" s="54"/>
      <c r="BD113" s="54"/>
    </row>
    <row r="114" spans="1:56" s="32" customFormat="1" ht="19.899999999999999" x14ac:dyDescent="0.5">
      <c r="A114" s="30"/>
      <c r="B114" s="30"/>
      <c r="C114" s="30"/>
      <c r="D114" s="54"/>
      <c r="E114" s="54"/>
      <c r="F114" s="54"/>
      <c r="G114" s="54"/>
      <c r="H114" s="54"/>
      <c r="I114" s="54"/>
      <c r="J114" s="54"/>
      <c r="K114" s="54"/>
      <c r="L114" s="54"/>
      <c r="M114" s="54"/>
      <c r="N114" s="54"/>
      <c r="O114" s="54"/>
      <c r="P114" s="54"/>
      <c r="Q114" s="54"/>
      <c r="R114" s="54"/>
      <c r="S114" s="54"/>
      <c r="T114" s="54"/>
      <c r="U114" s="54"/>
      <c r="V114" s="54"/>
      <c r="W114" s="54"/>
      <c r="X114" s="54"/>
      <c r="Y114" s="54"/>
      <c r="Z114" s="54"/>
      <c r="AA114" s="54"/>
      <c r="AB114" s="54"/>
      <c r="AC114" s="54"/>
      <c r="AD114" s="54"/>
      <c r="AE114" s="54"/>
      <c r="AF114" s="54"/>
      <c r="AG114" s="54"/>
      <c r="AH114" s="54"/>
      <c r="AI114" s="54"/>
      <c r="AJ114" s="54"/>
      <c r="AK114" s="54"/>
      <c r="AL114" s="54"/>
      <c r="AM114" s="54"/>
      <c r="AN114" s="54"/>
      <c r="AO114" s="54"/>
      <c r="AP114" s="54"/>
      <c r="AQ114" s="54"/>
      <c r="AR114" s="54"/>
      <c r="AS114" s="54"/>
      <c r="AT114" s="54"/>
      <c r="AU114" s="54"/>
      <c r="AV114" s="54"/>
      <c r="AW114" s="54"/>
      <c r="AX114" s="54"/>
      <c r="AY114" s="54"/>
      <c r="AZ114" s="54"/>
      <c r="BA114" s="54"/>
      <c r="BB114" s="54"/>
      <c r="BC114" s="54"/>
      <c r="BD114" s="54"/>
    </row>
    <row r="115" spans="1:56" s="32" customFormat="1" ht="19.899999999999999" x14ac:dyDescent="0.5">
      <c r="A115" s="30"/>
      <c r="B115" s="30"/>
      <c r="C115" s="30"/>
      <c r="D115" s="54"/>
      <c r="E115" s="54"/>
      <c r="F115" s="54"/>
      <c r="G115" s="54"/>
      <c r="H115" s="54"/>
      <c r="I115" s="54"/>
      <c r="J115" s="54"/>
      <c r="K115" s="54"/>
      <c r="L115" s="54"/>
      <c r="M115" s="54"/>
      <c r="N115" s="54"/>
      <c r="O115" s="54"/>
      <c r="P115" s="54"/>
      <c r="Q115" s="54"/>
      <c r="R115" s="54"/>
      <c r="S115" s="54"/>
      <c r="T115" s="54"/>
      <c r="U115" s="54"/>
      <c r="V115" s="54"/>
      <c r="W115" s="54"/>
      <c r="X115" s="54"/>
      <c r="Y115" s="54"/>
      <c r="Z115" s="54"/>
      <c r="AA115" s="54"/>
      <c r="AB115" s="54"/>
      <c r="AC115" s="54"/>
      <c r="AD115" s="54"/>
      <c r="AE115" s="54"/>
      <c r="AF115" s="54"/>
      <c r="AG115" s="54"/>
      <c r="AH115" s="54"/>
      <c r="AI115" s="54"/>
      <c r="AJ115" s="54"/>
      <c r="AK115" s="54"/>
      <c r="AL115" s="54"/>
      <c r="AM115" s="54"/>
      <c r="AN115" s="54"/>
      <c r="AO115" s="54"/>
      <c r="AP115" s="54"/>
      <c r="AQ115" s="54"/>
      <c r="AR115" s="54"/>
      <c r="AS115" s="54"/>
      <c r="AT115" s="54"/>
      <c r="AU115" s="54"/>
      <c r="AV115" s="54"/>
      <c r="AW115" s="54"/>
      <c r="AX115" s="54"/>
      <c r="AY115" s="54"/>
      <c r="AZ115" s="54"/>
      <c r="BA115" s="54"/>
      <c r="BB115" s="54"/>
      <c r="BC115" s="54"/>
      <c r="BD115" s="54"/>
    </row>
    <row r="116" spans="1:56" s="32" customFormat="1" ht="19.899999999999999" x14ac:dyDescent="0.5">
      <c r="A116" s="30"/>
      <c r="B116" s="30"/>
      <c r="C116" s="30"/>
      <c r="D116" s="54"/>
      <c r="E116" s="54"/>
      <c r="F116" s="54"/>
      <c r="G116" s="54"/>
      <c r="H116" s="54"/>
      <c r="I116" s="54"/>
      <c r="J116" s="54"/>
      <c r="K116" s="54"/>
      <c r="L116" s="54"/>
      <c r="M116" s="54"/>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54"/>
      <c r="AU116" s="54"/>
      <c r="AV116" s="54"/>
      <c r="AW116" s="54"/>
      <c r="AX116" s="54"/>
      <c r="AY116" s="54"/>
      <c r="AZ116" s="54"/>
      <c r="BA116" s="54"/>
      <c r="BB116" s="54"/>
      <c r="BC116" s="54"/>
      <c r="BD116" s="54"/>
    </row>
    <row r="117" spans="1:56" s="32" customFormat="1" ht="19.899999999999999" x14ac:dyDescent="0.5">
      <c r="A117" s="30"/>
      <c r="B117" s="30"/>
      <c r="C117" s="30"/>
      <c r="D117" s="54"/>
      <c r="E117" s="54"/>
      <c r="F117" s="54"/>
      <c r="G117" s="54"/>
      <c r="H117" s="54"/>
      <c r="I117" s="54"/>
      <c r="J117" s="54"/>
      <c r="K117" s="54"/>
      <c r="L117" s="54"/>
      <c r="M117" s="54"/>
      <c r="N117" s="54"/>
      <c r="O117" s="54"/>
      <c r="P117" s="54"/>
      <c r="Q117" s="54"/>
      <c r="R117" s="54"/>
      <c r="S117" s="54"/>
      <c r="T117" s="54"/>
      <c r="U117" s="54"/>
      <c r="V117" s="54"/>
      <c r="W117" s="54"/>
      <c r="X117" s="54"/>
      <c r="Y117" s="54"/>
      <c r="Z117" s="54"/>
      <c r="AA117" s="54"/>
      <c r="AB117" s="54"/>
      <c r="AC117" s="54"/>
      <c r="AD117" s="54"/>
      <c r="AE117" s="54"/>
      <c r="AF117" s="54"/>
      <c r="AG117" s="54"/>
      <c r="AH117" s="54"/>
      <c r="AI117" s="54"/>
      <c r="AJ117" s="54"/>
      <c r="AK117" s="54"/>
      <c r="AL117" s="54"/>
      <c r="AM117" s="54"/>
      <c r="AN117" s="54"/>
      <c r="AO117" s="54"/>
      <c r="AP117" s="54"/>
      <c r="AQ117" s="54"/>
      <c r="AR117" s="54"/>
      <c r="AS117" s="54"/>
      <c r="AT117" s="54"/>
      <c r="AU117" s="54"/>
      <c r="AV117" s="54"/>
      <c r="AW117" s="54"/>
      <c r="AX117" s="54"/>
      <c r="AY117" s="54"/>
      <c r="AZ117" s="54"/>
      <c r="BA117" s="54"/>
      <c r="BB117" s="54"/>
      <c r="BC117" s="54"/>
      <c r="BD117" s="54"/>
    </row>
    <row r="118" spans="1:56" s="32" customFormat="1" ht="19.899999999999999" x14ac:dyDescent="0.5">
      <c r="A118" s="30"/>
      <c r="B118" s="30"/>
      <c r="C118" s="30"/>
      <c r="D118" s="54"/>
      <c r="E118" s="54"/>
      <c r="F118" s="54"/>
      <c r="G118" s="54"/>
      <c r="H118" s="54"/>
      <c r="I118" s="54"/>
      <c r="J118" s="54"/>
      <c r="K118" s="54"/>
      <c r="L118" s="54"/>
      <c r="M118" s="54"/>
      <c r="N118" s="54"/>
      <c r="O118" s="54"/>
      <c r="P118" s="54"/>
      <c r="Q118" s="54"/>
      <c r="R118" s="54"/>
      <c r="S118" s="54"/>
      <c r="T118" s="54"/>
      <c r="U118" s="54"/>
      <c r="V118" s="54"/>
      <c r="W118" s="54"/>
      <c r="X118" s="54"/>
      <c r="Y118" s="54"/>
      <c r="Z118" s="54"/>
      <c r="AA118" s="54"/>
      <c r="AB118" s="54"/>
      <c r="AC118" s="54"/>
      <c r="AD118" s="54"/>
      <c r="AE118" s="54"/>
      <c r="AF118" s="54"/>
      <c r="AG118" s="54"/>
      <c r="AH118" s="54"/>
      <c r="AI118" s="54"/>
      <c r="AJ118" s="54"/>
      <c r="AK118" s="54"/>
      <c r="AL118" s="54"/>
      <c r="AM118" s="54"/>
      <c r="AN118" s="54"/>
      <c r="AO118" s="54"/>
      <c r="AP118" s="54"/>
      <c r="AQ118" s="54"/>
      <c r="AR118" s="54"/>
      <c r="AS118" s="54"/>
      <c r="AT118" s="54"/>
      <c r="AU118" s="54"/>
      <c r="AV118" s="54"/>
      <c r="AW118" s="54"/>
      <c r="AX118" s="54"/>
      <c r="AY118" s="54"/>
      <c r="AZ118" s="54"/>
      <c r="BA118" s="54"/>
      <c r="BB118" s="54"/>
      <c r="BC118" s="54"/>
      <c r="BD118" s="54"/>
    </row>
    <row r="119" spans="1:56" s="32" customFormat="1" ht="19.899999999999999" x14ac:dyDescent="0.5">
      <c r="A119" s="30"/>
      <c r="B119" s="30"/>
      <c r="C119" s="30"/>
      <c r="D119" s="54"/>
      <c r="E119" s="54"/>
      <c r="F119" s="54"/>
      <c r="G119" s="54"/>
      <c r="H119" s="54"/>
      <c r="I119" s="54"/>
      <c r="J119" s="54"/>
      <c r="K119" s="54"/>
      <c r="L119" s="54"/>
      <c r="M119" s="54"/>
      <c r="N119" s="54"/>
      <c r="O119" s="54"/>
      <c r="P119" s="54"/>
      <c r="Q119" s="54"/>
      <c r="R119" s="54"/>
      <c r="S119" s="54"/>
      <c r="T119" s="54"/>
      <c r="U119" s="54"/>
      <c r="V119" s="54"/>
      <c r="W119" s="54"/>
      <c r="X119" s="54"/>
      <c r="Y119" s="54"/>
      <c r="Z119" s="54"/>
      <c r="AA119" s="54"/>
      <c r="AB119" s="54"/>
      <c r="AC119" s="54"/>
      <c r="AD119" s="54"/>
      <c r="AE119" s="54"/>
      <c r="AF119" s="54"/>
      <c r="AG119" s="54"/>
      <c r="AH119" s="54"/>
      <c r="AI119" s="54"/>
      <c r="AJ119" s="54"/>
      <c r="AK119" s="54"/>
      <c r="AL119" s="54"/>
      <c r="AM119" s="54"/>
      <c r="AN119" s="54"/>
      <c r="AO119" s="54"/>
      <c r="AP119" s="54"/>
      <c r="AQ119" s="54"/>
      <c r="AR119" s="54"/>
      <c r="AS119" s="54"/>
      <c r="AT119" s="54"/>
      <c r="AU119" s="54"/>
      <c r="AV119" s="54"/>
      <c r="AW119" s="54"/>
      <c r="AX119" s="54"/>
      <c r="AY119" s="54"/>
      <c r="AZ119" s="54"/>
      <c r="BA119" s="54"/>
      <c r="BB119" s="54"/>
      <c r="BC119" s="54"/>
      <c r="BD119" s="54"/>
    </row>
    <row r="120" spans="1:56" s="32" customFormat="1" ht="19.899999999999999" x14ac:dyDescent="0.5">
      <c r="A120" s="30"/>
      <c r="B120" s="30"/>
      <c r="C120" s="30"/>
      <c r="D120" s="54"/>
      <c r="E120" s="54"/>
      <c r="F120" s="54"/>
      <c r="G120" s="54"/>
      <c r="H120" s="54"/>
      <c r="I120" s="54"/>
      <c r="J120" s="54"/>
      <c r="K120" s="54"/>
      <c r="L120" s="54"/>
      <c r="M120" s="54"/>
      <c r="N120" s="54"/>
      <c r="O120" s="54"/>
      <c r="P120" s="54"/>
      <c r="Q120" s="54"/>
      <c r="R120" s="54"/>
      <c r="S120" s="54"/>
      <c r="T120" s="54"/>
      <c r="U120" s="54"/>
      <c r="V120" s="54"/>
      <c r="W120" s="54"/>
      <c r="X120" s="54"/>
      <c r="Y120" s="54"/>
      <c r="Z120" s="54"/>
      <c r="AA120" s="54"/>
      <c r="AB120" s="54"/>
      <c r="AC120" s="54"/>
      <c r="AD120" s="54"/>
      <c r="AE120" s="54"/>
      <c r="AF120" s="54"/>
      <c r="AG120" s="54"/>
      <c r="AH120" s="54"/>
      <c r="AI120" s="54"/>
      <c r="AJ120" s="54"/>
      <c r="AK120" s="54"/>
      <c r="AL120" s="54"/>
      <c r="AM120" s="54"/>
      <c r="AN120" s="54"/>
      <c r="AO120" s="54"/>
      <c r="AP120" s="54"/>
      <c r="AQ120" s="54"/>
      <c r="AR120" s="54"/>
      <c r="AS120" s="54"/>
      <c r="AT120" s="54"/>
      <c r="AU120" s="54"/>
      <c r="AV120" s="54"/>
      <c r="AW120" s="54"/>
      <c r="AX120" s="54"/>
      <c r="AY120" s="54"/>
      <c r="AZ120" s="54"/>
      <c r="BA120" s="54"/>
      <c r="BB120" s="54"/>
      <c r="BC120" s="54"/>
      <c r="BD120" s="54"/>
    </row>
    <row r="121" spans="1:56" s="32" customFormat="1" ht="19.899999999999999" x14ac:dyDescent="0.5">
      <c r="A121" s="30"/>
      <c r="B121" s="30"/>
      <c r="C121" s="30"/>
      <c r="D121" s="54"/>
      <c r="E121" s="54"/>
      <c r="F121" s="54"/>
      <c r="G121" s="54"/>
      <c r="H121" s="54"/>
      <c r="I121" s="54"/>
      <c r="J121" s="54"/>
      <c r="K121" s="54"/>
      <c r="L121" s="54"/>
      <c r="M121" s="54"/>
      <c r="N121" s="54"/>
      <c r="O121" s="54"/>
      <c r="P121" s="54"/>
      <c r="Q121" s="54"/>
      <c r="R121" s="54"/>
      <c r="S121" s="54"/>
      <c r="T121" s="54"/>
      <c r="U121" s="54"/>
      <c r="V121" s="54"/>
      <c r="W121" s="54"/>
      <c r="X121" s="54"/>
      <c r="Y121" s="54"/>
      <c r="Z121" s="54"/>
      <c r="AA121" s="54"/>
      <c r="AB121" s="54"/>
      <c r="AC121" s="54"/>
      <c r="AD121" s="54"/>
      <c r="AE121" s="54"/>
      <c r="AF121" s="54"/>
      <c r="AG121" s="54"/>
      <c r="AH121" s="54"/>
      <c r="AI121" s="54"/>
      <c r="AJ121" s="54"/>
      <c r="AK121" s="54"/>
      <c r="AL121" s="54"/>
      <c r="AM121" s="54"/>
      <c r="AN121" s="54"/>
      <c r="AO121" s="54"/>
      <c r="AP121" s="54"/>
      <c r="AQ121" s="54"/>
      <c r="AR121" s="54"/>
      <c r="AS121" s="54"/>
      <c r="AT121" s="54"/>
      <c r="AU121" s="54"/>
      <c r="AV121" s="54"/>
      <c r="AW121" s="54"/>
      <c r="AX121" s="54"/>
      <c r="AY121" s="54"/>
      <c r="AZ121" s="54"/>
      <c r="BA121" s="54"/>
      <c r="BB121" s="54"/>
      <c r="BC121" s="54"/>
      <c r="BD121" s="54"/>
    </row>
    <row r="122" spans="1:56" s="32" customFormat="1" ht="19.899999999999999" x14ac:dyDescent="0.5">
      <c r="A122" s="30"/>
      <c r="B122" s="30"/>
      <c r="C122" s="30"/>
      <c r="D122" s="54"/>
      <c r="E122" s="54"/>
      <c r="F122" s="54"/>
      <c r="G122" s="54"/>
      <c r="H122" s="54"/>
      <c r="I122" s="54"/>
      <c r="J122" s="54"/>
      <c r="K122" s="54"/>
      <c r="L122" s="54"/>
      <c r="M122" s="54"/>
      <c r="N122" s="54"/>
      <c r="O122" s="54"/>
      <c r="P122" s="54"/>
      <c r="Q122" s="54"/>
      <c r="R122" s="54"/>
      <c r="S122" s="54"/>
      <c r="T122" s="54"/>
      <c r="U122" s="54"/>
      <c r="V122" s="54"/>
      <c r="W122" s="54"/>
      <c r="X122" s="54"/>
      <c r="Y122" s="54"/>
      <c r="Z122" s="54"/>
      <c r="AA122" s="54"/>
      <c r="AB122" s="54"/>
      <c r="AC122" s="54"/>
      <c r="AD122" s="54"/>
      <c r="AE122" s="54"/>
      <c r="AF122" s="54"/>
      <c r="AG122" s="54"/>
      <c r="AH122" s="54"/>
      <c r="AI122" s="54"/>
      <c r="AJ122" s="54"/>
      <c r="AK122" s="54"/>
      <c r="AL122" s="54"/>
      <c r="AM122" s="54"/>
      <c r="AN122" s="54"/>
      <c r="AO122" s="54"/>
      <c r="AP122" s="54"/>
      <c r="AQ122" s="54"/>
      <c r="AR122" s="54"/>
      <c r="AS122" s="54"/>
      <c r="AT122" s="54"/>
      <c r="AU122" s="54"/>
      <c r="AV122" s="54"/>
      <c r="AW122" s="54"/>
      <c r="AX122" s="54"/>
      <c r="AY122" s="54"/>
      <c r="AZ122" s="54"/>
      <c r="BA122" s="54"/>
      <c r="BB122" s="54"/>
      <c r="BC122" s="54"/>
      <c r="BD122" s="54"/>
    </row>
    <row r="123" spans="1:56" s="32" customFormat="1" ht="19.899999999999999" x14ac:dyDescent="0.5">
      <c r="A123" s="30"/>
      <c r="B123" s="30"/>
      <c r="C123" s="30"/>
      <c r="D123" s="54"/>
      <c r="E123" s="54"/>
      <c r="F123" s="54"/>
      <c r="G123" s="54"/>
      <c r="H123" s="54"/>
      <c r="I123" s="54"/>
      <c r="J123" s="54"/>
      <c r="K123" s="54"/>
      <c r="L123" s="54"/>
      <c r="M123" s="54"/>
      <c r="N123" s="54"/>
      <c r="O123" s="54"/>
      <c r="P123" s="54"/>
      <c r="Q123" s="54"/>
      <c r="R123" s="54"/>
      <c r="S123" s="54"/>
      <c r="T123" s="54"/>
      <c r="U123" s="54"/>
      <c r="V123" s="54"/>
      <c r="W123" s="54"/>
      <c r="X123" s="54"/>
      <c r="Y123" s="54"/>
      <c r="Z123" s="54"/>
      <c r="AA123" s="54"/>
      <c r="AB123" s="54"/>
      <c r="AC123" s="54"/>
      <c r="AD123" s="54"/>
      <c r="AE123" s="54"/>
      <c r="AF123" s="54"/>
      <c r="AG123" s="54"/>
      <c r="AH123" s="54"/>
      <c r="AI123" s="54"/>
      <c r="AJ123" s="54"/>
      <c r="AK123" s="54"/>
      <c r="AL123" s="54"/>
      <c r="AM123" s="54"/>
      <c r="AN123" s="54"/>
      <c r="AO123" s="54"/>
      <c r="AP123" s="54"/>
      <c r="AQ123" s="54"/>
      <c r="AR123" s="54"/>
      <c r="AS123" s="54"/>
      <c r="AT123" s="54"/>
      <c r="AU123" s="54"/>
      <c r="AV123" s="54"/>
      <c r="AW123" s="54"/>
      <c r="AX123" s="54"/>
      <c r="AY123" s="54"/>
      <c r="AZ123" s="54"/>
      <c r="BA123" s="54"/>
      <c r="BB123" s="54"/>
      <c r="BC123" s="54"/>
      <c r="BD123" s="54"/>
    </row>
    <row r="124" spans="1:56" s="32" customFormat="1" ht="19.899999999999999" x14ac:dyDescent="0.5">
      <c r="A124" s="30"/>
      <c r="B124" s="30"/>
      <c r="C124" s="30"/>
      <c r="D124" s="54"/>
      <c r="E124" s="54"/>
      <c r="F124" s="54"/>
      <c r="G124" s="54"/>
      <c r="H124" s="54"/>
      <c r="I124" s="54"/>
      <c r="J124" s="54"/>
      <c r="K124" s="54"/>
      <c r="L124" s="54"/>
      <c r="M124" s="54"/>
      <c r="N124" s="54"/>
      <c r="O124" s="54"/>
      <c r="P124" s="54"/>
      <c r="Q124" s="54"/>
      <c r="R124" s="54"/>
      <c r="S124" s="54"/>
      <c r="T124" s="54"/>
      <c r="U124" s="54"/>
      <c r="V124" s="54"/>
      <c r="W124" s="54"/>
      <c r="X124" s="54"/>
      <c r="Y124" s="54"/>
      <c r="Z124" s="54"/>
      <c r="AA124" s="54"/>
      <c r="AB124" s="54"/>
      <c r="AC124" s="54"/>
      <c r="AD124" s="54"/>
      <c r="AE124" s="54"/>
      <c r="AF124" s="54"/>
      <c r="AG124" s="54"/>
      <c r="AH124" s="54"/>
      <c r="AI124" s="54"/>
      <c r="AJ124" s="54"/>
      <c r="AK124" s="54"/>
      <c r="AL124" s="54"/>
      <c r="AM124" s="54"/>
      <c r="AN124" s="54"/>
      <c r="AO124" s="54"/>
      <c r="AP124" s="54"/>
      <c r="AQ124" s="54"/>
      <c r="AR124" s="54"/>
      <c r="AS124" s="54"/>
      <c r="AT124" s="54"/>
      <c r="AU124" s="54"/>
      <c r="AV124" s="54"/>
      <c r="AW124" s="54"/>
      <c r="AX124" s="54"/>
      <c r="AY124" s="54"/>
      <c r="AZ124" s="54"/>
      <c r="BA124" s="54"/>
      <c r="BB124" s="54"/>
      <c r="BC124" s="54"/>
      <c r="BD124" s="54"/>
    </row>
    <row r="125" spans="1:56" s="32" customFormat="1" ht="19.899999999999999" x14ac:dyDescent="0.5">
      <c r="A125" s="30"/>
      <c r="B125" s="30"/>
      <c r="C125" s="30"/>
      <c r="D125" s="54"/>
      <c r="E125" s="54"/>
      <c r="F125" s="54"/>
      <c r="G125" s="54"/>
      <c r="H125" s="54"/>
      <c r="I125" s="54"/>
      <c r="J125" s="54"/>
      <c r="K125" s="54"/>
      <c r="L125" s="54"/>
      <c r="M125" s="54"/>
      <c r="N125" s="54"/>
      <c r="O125" s="54"/>
      <c r="P125" s="54"/>
      <c r="Q125" s="54"/>
      <c r="R125" s="54"/>
      <c r="S125" s="54"/>
      <c r="T125" s="54"/>
      <c r="U125" s="54"/>
      <c r="V125" s="54"/>
      <c r="W125" s="54"/>
      <c r="X125" s="54"/>
      <c r="Y125" s="54"/>
      <c r="Z125" s="54"/>
      <c r="AA125" s="54"/>
      <c r="AB125" s="54"/>
      <c r="AC125" s="54"/>
      <c r="AD125" s="54"/>
      <c r="AE125" s="54"/>
      <c r="AF125" s="54"/>
      <c r="AG125" s="54"/>
      <c r="AH125" s="54"/>
      <c r="AI125" s="54"/>
      <c r="AJ125" s="54"/>
      <c r="AK125" s="54"/>
      <c r="AL125" s="54"/>
      <c r="AM125" s="54"/>
      <c r="AN125" s="54"/>
      <c r="AO125" s="54"/>
      <c r="AP125" s="54"/>
      <c r="AQ125" s="54"/>
      <c r="AR125" s="54"/>
      <c r="AS125" s="54"/>
      <c r="AT125" s="54"/>
      <c r="AU125" s="54"/>
      <c r="AV125" s="54"/>
      <c r="AW125" s="54"/>
      <c r="AX125" s="54"/>
      <c r="AY125" s="54"/>
      <c r="AZ125" s="54"/>
      <c r="BA125" s="54"/>
      <c r="BB125" s="54"/>
      <c r="BC125" s="54"/>
      <c r="BD125" s="54"/>
    </row>
    <row r="126" spans="1:56" s="32" customFormat="1" ht="19.899999999999999" x14ac:dyDescent="0.5">
      <c r="A126" s="30"/>
      <c r="B126" s="30"/>
      <c r="C126" s="30"/>
      <c r="D126" s="54"/>
      <c r="E126" s="54"/>
      <c r="F126" s="54"/>
      <c r="G126" s="54"/>
      <c r="H126" s="54"/>
      <c r="I126" s="54"/>
      <c r="J126" s="54"/>
      <c r="K126" s="54"/>
      <c r="L126" s="54"/>
      <c r="M126" s="54"/>
      <c r="N126" s="54"/>
      <c r="O126" s="54"/>
      <c r="P126" s="54"/>
      <c r="Q126" s="54"/>
      <c r="R126" s="54"/>
      <c r="S126" s="54"/>
      <c r="T126" s="54"/>
      <c r="U126" s="54"/>
      <c r="V126" s="54"/>
      <c r="W126" s="54"/>
      <c r="X126" s="54"/>
      <c r="Y126" s="54"/>
      <c r="Z126" s="54"/>
      <c r="AA126" s="54"/>
      <c r="AB126" s="54"/>
      <c r="AC126" s="54"/>
      <c r="AD126" s="54"/>
      <c r="AE126" s="54"/>
      <c r="AF126" s="54"/>
      <c r="AG126" s="54"/>
      <c r="AH126" s="54"/>
      <c r="AI126" s="54"/>
      <c r="AJ126" s="54"/>
      <c r="AK126" s="54"/>
      <c r="AL126" s="54"/>
      <c r="AM126" s="54"/>
      <c r="AN126" s="54"/>
      <c r="AO126" s="54"/>
      <c r="AP126" s="54"/>
      <c r="AQ126" s="54"/>
      <c r="AR126" s="54"/>
      <c r="AS126" s="54"/>
      <c r="AT126" s="54"/>
      <c r="AU126" s="54"/>
      <c r="AV126" s="54"/>
      <c r="AW126" s="54"/>
      <c r="AX126" s="54"/>
      <c r="AY126" s="54"/>
      <c r="AZ126" s="54"/>
      <c r="BA126" s="54"/>
      <c r="BB126" s="54"/>
      <c r="BC126" s="54"/>
      <c r="BD126" s="54"/>
    </row>
    <row r="127" spans="1:56" s="32" customFormat="1" ht="19.899999999999999" x14ac:dyDescent="0.5">
      <c r="A127" s="30"/>
      <c r="B127" s="30"/>
      <c r="C127" s="30"/>
      <c r="D127" s="54"/>
      <c r="E127" s="54"/>
      <c r="F127" s="54"/>
      <c r="G127" s="54"/>
      <c r="H127" s="54"/>
      <c r="I127" s="54"/>
      <c r="J127" s="54"/>
      <c r="K127" s="54"/>
      <c r="L127" s="54"/>
      <c r="M127" s="54"/>
      <c r="N127" s="54"/>
      <c r="O127" s="54"/>
      <c r="P127" s="54"/>
      <c r="Q127" s="54"/>
      <c r="R127" s="54"/>
      <c r="S127" s="54"/>
      <c r="T127" s="54"/>
      <c r="U127" s="54"/>
      <c r="V127" s="54"/>
      <c r="W127" s="54"/>
      <c r="X127" s="54"/>
      <c r="Y127" s="54"/>
      <c r="Z127" s="54"/>
      <c r="AA127" s="54"/>
      <c r="AB127" s="54"/>
      <c r="AC127" s="54"/>
      <c r="AD127" s="54"/>
      <c r="AE127" s="54"/>
      <c r="AF127" s="54"/>
      <c r="AG127" s="54"/>
      <c r="AH127" s="54"/>
      <c r="AI127" s="54"/>
      <c r="AJ127" s="54"/>
      <c r="AK127" s="54"/>
      <c r="AL127" s="54"/>
      <c r="AM127" s="54"/>
      <c r="AN127" s="54"/>
      <c r="AO127" s="54"/>
      <c r="AP127" s="54"/>
      <c r="AQ127" s="54"/>
      <c r="AR127" s="54"/>
      <c r="AS127" s="54"/>
      <c r="AT127" s="54"/>
      <c r="AU127" s="54"/>
      <c r="AV127" s="54"/>
      <c r="AW127" s="54"/>
      <c r="AX127" s="54"/>
      <c r="AY127" s="54"/>
      <c r="AZ127" s="54"/>
      <c r="BA127" s="54"/>
      <c r="BB127" s="54"/>
      <c r="BC127" s="54"/>
      <c r="BD127" s="54"/>
    </row>
    <row r="128" spans="1:56" s="32" customFormat="1" ht="19.899999999999999" x14ac:dyDescent="0.5">
      <c r="A128" s="30"/>
      <c r="B128" s="30"/>
      <c r="C128" s="30"/>
      <c r="D128" s="54"/>
      <c r="E128" s="54"/>
      <c r="F128" s="54"/>
      <c r="G128" s="54"/>
      <c r="H128" s="54"/>
      <c r="I128" s="54"/>
      <c r="J128" s="54"/>
      <c r="K128" s="54"/>
      <c r="L128" s="54"/>
      <c r="M128" s="54"/>
      <c r="N128" s="54"/>
      <c r="O128" s="54"/>
      <c r="P128" s="54"/>
      <c r="Q128" s="54"/>
      <c r="R128" s="54"/>
      <c r="S128" s="54"/>
      <c r="T128" s="54"/>
      <c r="U128" s="54"/>
      <c r="V128" s="54"/>
      <c r="W128" s="54"/>
      <c r="X128" s="54"/>
      <c r="Y128" s="54"/>
      <c r="Z128" s="54"/>
      <c r="AA128" s="54"/>
      <c r="AB128" s="54"/>
      <c r="AC128" s="54"/>
      <c r="AD128" s="54"/>
      <c r="AE128" s="54"/>
      <c r="AF128" s="54"/>
      <c r="AG128" s="54"/>
      <c r="AH128" s="54"/>
      <c r="AI128" s="54"/>
      <c r="AJ128" s="54"/>
      <c r="AK128" s="54"/>
      <c r="AL128" s="54"/>
      <c r="AM128" s="54"/>
      <c r="AN128" s="54"/>
      <c r="AO128" s="54"/>
      <c r="AP128" s="54"/>
      <c r="AQ128" s="54"/>
      <c r="AR128" s="54"/>
      <c r="AS128" s="54"/>
      <c r="AT128" s="54"/>
      <c r="AU128" s="54"/>
      <c r="AV128" s="54"/>
      <c r="AW128" s="54"/>
      <c r="AX128" s="54"/>
      <c r="AY128" s="54"/>
      <c r="AZ128" s="54"/>
      <c r="BA128" s="54"/>
      <c r="BB128" s="54"/>
      <c r="BC128" s="54"/>
      <c r="BD128" s="54"/>
    </row>
    <row r="129" spans="1:56" s="32" customFormat="1" ht="19.899999999999999" x14ac:dyDescent="0.5">
      <c r="A129" s="30"/>
      <c r="B129" s="30"/>
      <c r="C129" s="30"/>
      <c r="D129" s="54"/>
      <c r="E129" s="54"/>
      <c r="F129" s="54"/>
      <c r="G129" s="54"/>
      <c r="H129" s="54"/>
      <c r="I129" s="54"/>
      <c r="J129" s="54"/>
      <c r="K129" s="54"/>
      <c r="L129" s="54"/>
      <c r="M129" s="54"/>
      <c r="N129" s="54"/>
      <c r="O129" s="54"/>
      <c r="P129" s="54"/>
      <c r="Q129" s="54"/>
      <c r="R129" s="54"/>
      <c r="S129" s="54"/>
      <c r="T129" s="54"/>
      <c r="U129" s="54"/>
      <c r="V129" s="54"/>
      <c r="W129" s="54"/>
      <c r="X129" s="54"/>
      <c r="Y129" s="54"/>
      <c r="Z129" s="54"/>
      <c r="AA129" s="54"/>
      <c r="AB129" s="54"/>
      <c r="AC129" s="54"/>
      <c r="AD129" s="54"/>
      <c r="AE129" s="54"/>
      <c r="AF129" s="54"/>
      <c r="AG129" s="54"/>
      <c r="AH129" s="54"/>
      <c r="AI129" s="54"/>
      <c r="AJ129" s="54"/>
      <c r="AK129" s="54"/>
      <c r="AL129" s="54"/>
      <c r="AM129" s="54"/>
      <c r="AN129" s="54"/>
      <c r="AO129" s="54"/>
      <c r="AP129" s="54"/>
      <c r="AQ129" s="54"/>
      <c r="AR129" s="54"/>
      <c r="AS129" s="54"/>
      <c r="AT129" s="54"/>
      <c r="AU129" s="54"/>
      <c r="AV129" s="54"/>
      <c r="AW129" s="54"/>
      <c r="AX129" s="54"/>
      <c r="AY129" s="54"/>
      <c r="AZ129" s="54"/>
      <c r="BA129" s="54"/>
      <c r="BB129" s="54"/>
      <c r="BC129" s="54"/>
      <c r="BD129" s="54"/>
    </row>
    <row r="130" spans="1:56" s="32" customFormat="1" ht="19.899999999999999" x14ac:dyDescent="0.5">
      <c r="A130" s="30"/>
      <c r="B130" s="30"/>
      <c r="C130" s="30"/>
      <c r="D130" s="54"/>
      <c r="E130" s="54"/>
      <c r="F130" s="54"/>
      <c r="G130" s="54"/>
      <c r="H130" s="54"/>
      <c r="I130" s="54"/>
      <c r="J130" s="54"/>
      <c r="K130" s="54"/>
      <c r="L130" s="54"/>
      <c r="M130" s="54"/>
      <c r="N130" s="54"/>
      <c r="O130" s="54"/>
      <c r="P130" s="54"/>
      <c r="Q130" s="54"/>
      <c r="R130" s="54"/>
      <c r="S130" s="54"/>
      <c r="T130" s="54"/>
      <c r="U130" s="54"/>
      <c r="V130" s="54"/>
      <c r="W130" s="54"/>
      <c r="X130" s="54"/>
      <c r="Y130" s="54"/>
      <c r="Z130" s="54"/>
      <c r="AA130" s="54"/>
      <c r="AB130" s="54"/>
      <c r="AC130" s="54"/>
      <c r="AD130" s="54"/>
      <c r="AE130" s="54"/>
      <c r="AF130" s="54"/>
      <c r="AG130" s="54"/>
      <c r="AH130" s="54"/>
      <c r="AI130" s="54"/>
      <c r="AJ130" s="54"/>
      <c r="AK130" s="54"/>
      <c r="AL130" s="54"/>
      <c r="AM130" s="54"/>
      <c r="AN130" s="54"/>
      <c r="AO130" s="54"/>
      <c r="AP130" s="54"/>
      <c r="AQ130" s="54"/>
      <c r="AR130" s="54"/>
      <c r="AS130" s="54"/>
      <c r="AT130" s="54"/>
      <c r="AU130" s="54"/>
      <c r="AV130" s="54"/>
      <c r="AW130" s="54"/>
      <c r="AX130" s="54"/>
      <c r="AY130" s="54"/>
      <c r="AZ130" s="54"/>
      <c r="BA130" s="54"/>
      <c r="BB130" s="54"/>
      <c r="BC130" s="54"/>
      <c r="BD130" s="54"/>
    </row>
    <row r="131" spans="1:56" s="32" customFormat="1" ht="19.899999999999999" x14ac:dyDescent="0.5">
      <c r="A131" s="30"/>
      <c r="B131" s="30"/>
      <c r="C131" s="30"/>
      <c r="D131" s="54"/>
      <c r="E131" s="54"/>
      <c r="F131" s="54"/>
      <c r="G131" s="54"/>
      <c r="H131" s="54"/>
      <c r="I131" s="54"/>
      <c r="J131" s="54"/>
      <c r="K131" s="54"/>
      <c r="L131" s="54"/>
      <c r="M131" s="54"/>
      <c r="N131" s="54"/>
      <c r="O131" s="54"/>
      <c r="P131" s="54"/>
      <c r="Q131" s="54"/>
      <c r="R131" s="54"/>
      <c r="S131" s="54"/>
      <c r="T131" s="54"/>
      <c r="U131" s="54"/>
      <c r="V131" s="54"/>
      <c r="W131" s="54"/>
      <c r="X131" s="54"/>
      <c r="Y131" s="54"/>
      <c r="Z131" s="54"/>
      <c r="AA131" s="54"/>
      <c r="AB131" s="54"/>
      <c r="AC131" s="54"/>
      <c r="AD131" s="54"/>
      <c r="AE131" s="54"/>
      <c r="AF131" s="54"/>
      <c r="AG131" s="54"/>
      <c r="AH131" s="54"/>
      <c r="AI131" s="54"/>
      <c r="AJ131" s="54"/>
      <c r="AK131" s="54"/>
      <c r="AL131" s="54"/>
      <c r="AM131" s="54"/>
      <c r="AN131" s="54"/>
      <c r="AO131" s="54"/>
      <c r="AP131" s="54"/>
      <c r="AQ131" s="54"/>
      <c r="AR131" s="54"/>
      <c r="AS131" s="54"/>
      <c r="AT131" s="54"/>
      <c r="AU131" s="54"/>
      <c r="AV131" s="54"/>
      <c r="AW131" s="54"/>
      <c r="AX131" s="54"/>
      <c r="AY131" s="54"/>
      <c r="AZ131" s="54"/>
      <c r="BA131" s="54"/>
      <c r="BB131" s="54"/>
      <c r="BC131" s="54"/>
      <c r="BD131" s="54"/>
    </row>
    <row r="132" spans="1:56" s="32" customFormat="1" ht="19.899999999999999" x14ac:dyDescent="0.5">
      <c r="A132" s="30"/>
      <c r="B132" s="30"/>
      <c r="C132" s="30"/>
      <c r="D132" s="54"/>
      <c r="E132" s="54"/>
      <c r="F132" s="54"/>
      <c r="G132" s="54"/>
      <c r="H132" s="54"/>
      <c r="I132" s="54"/>
      <c r="J132" s="54"/>
      <c r="K132" s="54"/>
      <c r="L132" s="54"/>
      <c r="M132" s="54"/>
      <c r="N132" s="54"/>
      <c r="O132" s="54"/>
      <c r="P132" s="54"/>
      <c r="Q132" s="54"/>
      <c r="R132" s="54"/>
      <c r="S132" s="54"/>
      <c r="T132" s="54"/>
      <c r="U132" s="54"/>
      <c r="V132" s="54"/>
      <c r="W132" s="54"/>
      <c r="X132" s="54"/>
      <c r="Y132" s="54"/>
      <c r="Z132" s="54"/>
      <c r="AA132" s="54"/>
      <c r="AB132" s="54"/>
      <c r="AC132" s="54"/>
      <c r="AD132" s="54"/>
      <c r="AE132" s="54"/>
      <c r="AF132" s="54"/>
      <c r="AG132" s="54"/>
      <c r="AH132" s="54"/>
      <c r="AI132" s="54"/>
      <c r="AJ132" s="54"/>
      <c r="AK132" s="54"/>
      <c r="AL132" s="54"/>
      <c r="AM132" s="54"/>
      <c r="AN132" s="54"/>
      <c r="AO132" s="54"/>
      <c r="AP132" s="54"/>
      <c r="AQ132" s="54"/>
      <c r="AR132" s="54"/>
      <c r="AS132" s="54"/>
      <c r="AT132" s="54"/>
      <c r="AU132" s="54"/>
      <c r="AV132" s="54"/>
      <c r="AW132" s="54"/>
      <c r="AX132" s="54"/>
      <c r="AY132" s="54"/>
      <c r="AZ132" s="54"/>
      <c r="BA132" s="54"/>
      <c r="BB132" s="54"/>
      <c r="BC132" s="54"/>
      <c r="BD132" s="54"/>
    </row>
    <row r="133" spans="1:56" s="32" customFormat="1" ht="19.899999999999999" x14ac:dyDescent="0.5">
      <c r="A133" s="30"/>
      <c r="B133" s="30"/>
      <c r="C133" s="30"/>
      <c r="D133" s="54"/>
      <c r="E133" s="54"/>
      <c r="F133" s="54"/>
      <c r="G133" s="54"/>
      <c r="H133" s="54"/>
      <c r="I133" s="54"/>
      <c r="J133" s="54"/>
      <c r="K133" s="54"/>
      <c r="L133" s="54"/>
      <c r="M133" s="54"/>
      <c r="N133" s="54"/>
      <c r="O133" s="54"/>
      <c r="P133" s="54"/>
      <c r="Q133" s="54"/>
      <c r="R133" s="54"/>
      <c r="S133" s="54"/>
      <c r="T133" s="54"/>
      <c r="U133" s="54"/>
      <c r="V133" s="54"/>
      <c r="W133" s="54"/>
      <c r="X133" s="54"/>
      <c r="Y133" s="54"/>
      <c r="Z133" s="54"/>
      <c r="AA133" s="54"/>
      <c r="AB133" s="54"/>
      <c r="AC133" s="54"/>
      <c r="AD133" s="54"/>
      <c r="AE133" s="54"/>
      <c r="AF133" s="54"/>
      <c r="AG133" s="54"/>
      <c r="AH133" s="54"/>
      <c r="AI133" s="54"/>
      <c r="AJ133" s="54"/>
      <c r="AK133" s="54"/>
      <c r="AL133" s="54"/>
      <c r="AM133" s="54"/>
      <c r="AN133" s="54"/>
      <c r="AO133" s="54"/>
      <c r="AP133" s="54"/>
      <c r="AQ133" s="54"/>
      <c r="AR133" s="54"/>
      <c r="AS133" s="54"/>
      <c r="AT133" s="54"/>
      <c r="AU133" s="54"/>
      <c r="AV133" s="54"/>
      <c r="AW133" s="54"/>
      <c r="AX133" s="54"/>
      <c r="AY133" s="54"/>
      <c r="AZ133" s="54"/>
      <c r="BA133" s="54"/>
      <c r="BB133" s="54"/>
      <c r="BC133" s="54"/>
      <c r="BD133" s="54"/>
    </row>
    <row r="134" spans="1:56" s="32" customFormat="1" ht="19.899999999999999" x14ac:dyDescent="0.5">
      <c r="A134" s="30"/>
      <c r="B134" s="30"/>
      <c r="C134" s="30"/>
      <c r="D134" s="54"/>
      <c r="E134" s="54"/>
      <c r="F134" s="54"/>
      <c r="G134" s="54"/>
      <c r="H134" s="54"/>
      <c r="I134" s="54"/>
      <c r="J134" s="54"/>
      <c r="K134" s="54"/>
      <c r="L134" s="54"/>
      <c r="M134" s="54"/>
      <c r="N134" s="54"/>
      <c r="O134" s="54"/>
      <c r="P134" s="54"/>
      <c r="Q134" s="54"/>
      <c r="R134" s="54"/>
      <c r="S134" s="54"/>
      <c r="T134" s="54"/>
      <c r="U134" s="54"/>
      <c r="V134" s="54"/>
      <c r="W134" s="54"/>
      <c r="X134" s="54"/>
      <c r="Y134" s="54"/>
      <c r="Z134" s="54"/>
      <c r="AA134" s="54"/>
      <c r="AB134" s="54"/>
      <c r="AC134" s="54"/>
      <c r="AD134" s="54"/>
      <c r="AE134" s="54"/>
      <c r="AF134" s="54"/>
      <c r="AG134" s="54"/>
      <c r="AH134" s="54"/>
      <c r="AI134" s="54"/>
      <c r="AJ134" s="54"/>
      <c r="AK134" s="54"/>
      <c r="AL134" s="54"/>
      <c r="AM134" s="54"/>
      <c r="AN134" s="54"/>
      <c r="AO134" s="54"/>
      <c r="AP134" s="54"/>
      <c r="AQ134" s="54"/>
      <c r="AR134" s="54"/>
      <c r="AS134" s="54"/>
      <c r="AT134" s="54"/>
      <c r="AU134" s="54"/>
      <c r="AV134" s="54"/>
      <c r="AW134" s="54"/>
      <c r="AX134" s="54"/>
      <c r="AY134" s="54"/>
      <c r="AZ134" s="54"/>
      <c r="BA134" s="54"/>
      <c r="BB134" s="54"/>
      <c r="BC134" s="54"/>
      <c r="BD134" s="54"/>
    </row>
    <row r="135" spans="1:56" s="32" customFormat="1" ht="19.899999999999999" x14ac:dyDescent="0.5">
      <c r="A135" s="30"/>
      <c r="B135" s="30"/>
      <c r="C135" s="30"/>
      <c r="D135" s="54"/>
      <c r="E135" s="54"/>
      <c r="F135" s="54"/>
      <c r="G135" s="54"/>
      <c r="H135" s="54"/>
      <c r="I135" s="54"/>
      <c r="J135" s="54"/>
      <c r="K135" s="54"/>
      <c r="L135" s="54"/>
      <c r="M135" s="54"/>
      <c r="N135" s="54"/>
      <c r="O135" s="54"/>
      <c r="P135" s="54"/>
      <c r="Q135" s="54"/>
      <c r="R135" s="54"/>
      <c r="S135" s="54"/>
      <c r="T135" s="54"/>
      <c r="U135" s="54"/>
      <c r="V135" s="54"/>
      <c r="W135" s="54"/>
      <c r="X135" s="54"/>
      <c r="Y135" s="54"/>
      <c r="Z135" s="54"/>
      <c r="AA135" s="54"/>
      <c r="AB135" s="54"/>
      <c r="AC135" s="54"/>
      <c r="AD135" s="54"/>
      <c r="AE135" s="54"/>
      <c r="AF135" s="54"/>
      <c r="AG135" s="54"/>
      <c r="AH135" s="54"/>
      <c r="AI135" s="54"/>
      <c r="AJ135" s="54"/>
      <c r="AK135" s="54"/>
      <c r="AL135" s="54"/>
      <c r="AM135" s="54"/>
      <c r="AN135" s="54"/>
      <c r="AO135" s="54"/>
      <c r="AP135" s="54"/>
      <c r="AQ135" s="54"/>
      <c r="AR135" s="54"/>
      <c r="AS135" s="54"/>
      <c r="AT135" s="54"/>
      <c r="AU135" s="54"/>
      <c r="AV135" s="54"/>
      <c r="AW135" s="54"/>
      <c r="AX135" s="54"/>
      <c r="AY135" s="54"/>
      <c r="AZ135" s="54"/>
      <c r="BA135" s="54"/>
      <c r="BB135" s="54"/>
      <c r="BC135" s="54"/>
      <c r="BD135" s="54"/>
    </row>
    <row r="136" spans="1:56" s="32" customFormat="1" ht="19.899999999999999" x14ac:dyDescent="0.5">
      <c r="A136" s="30"/>
      <c r="B136" s="30"/>
      <c r="C136" s="30"/>
      <c r="D136" s="54"/>
      <c r="E136" s="54"/>
      <c r="F136" s="54"/>
      <c r="G136" s="54"/>
      <c r="H136" s="54"/>
      <c r="I136" s="54"/>
      <c r="J136" s="54"/>
      <c r="K136" s="54"/>
      <c r="L136" s="54"/>
      <c r="M136" s="54"/>
      <c r="N136" s="54"/>
      <c r="O136" s="54"/>
      <c r="P136" s="54"/>
      <c r="Q136" s="54"/>
      <c r="R136" s="54"/>
      <c r="S136" s="54"/>
      <c r="T136" s="54"/>
      <c r="U136" s="54"/>
      <c r="V136" s="54"/>
      <c r="W136" s="54"/>
      <c r="X136" s="54"/>
      <c r="Y136" s="54"/>
      <c r="Z136" s="54"/>
      <c r="AA136" s="54"/>
      <c r="AB136" s="54"/>
      <c r="AC136" s="54"/>
      <c r="AD136" s="54"/>
      <c r="AE136" s="54"/>
      <c r="AF136" s="54"/>
      <c r="AG136" s="54"/>
      <c r="AH136" s="54"/>
      <c r="AI136" s="54"/>
      <c r="AJ136" s="54"/>
      <c r="AK136" s="54"/>
      <c r="AL136" s="54"/>
      <c r="AM136" s="54"/>
      <c r="AN136" s="54"/>
      <c r="AO136" s="54"/>
      <c r="AP136" s="54"/>
      <c r="AQ136" s="54"/>
      <c r="AR136" s="54"/>
      <c r="AS136" s="54"/>
      <c r="AT136" s="54"/>
      <c r="AU136" s="54"/>
      <c r="AV136" s="54"/>
      <c r="AW136" s="54"/>
      <c r="AX136" s="54"/>
      <c r="AY136" s="54"/>
      <c r="AZ136" s="54"/>
      <c r="BA136" s="54"/>
      <c r="BB136" s="54"/>
      <c r="BC136" s="54"/>
      <c r="BD136" s="54"/>
    </row>
    <row r="137" spans="1:56" s="32" customFormat="1" ht="19.899999999999999" x14ac:dyDescent="0.5">
      <c r="A137" s="30"/>
      <c r="B137" s="30"/>
      <c r="C137" s="30"/>
      <c r="D137" s="54"/>
      <c r="E137" s="54"/>
      <c r="F137" s="54"/>
      <c r="G137" s="54"/>
      <c r="H137" s="54"/>
      <c r="I137" s="54"/>
      <c r="J137" s="54"/>
      <c r="K137" s="54"/>
      <c r="L137" s="54"/>
      <c r="M137" s="54"/>
      <c r="N137" s="54"/>
      <c r="O137" s="54"/>
      <c r="P137" s="54"/>
      <c r="Q137" s="54"/>
      <c r="R137" s="54"/>
      <c r="S137" s="54"/>
      <c r="T137" s="54"/>
      <c r="U137" s="54"/>
      <c r="V137" s="54"/>
      <c r="W137" s="54"/>
      <c r="X137" s="54"/>
      <c r="Y137" s="54"/>
      <c r="Z137" s="54"/>
      <c r="AA137" s="54"/>
      <c r="AB137" s="54"/>
      <c r="AC137" s="54"/>
      <c r="AD137" s="54"/>
      <c r="AE137" s="54"/>
      <c r="AF137" s="54"/>
      <c r="AG137" s="54"/>
      <c r="AH137" s="54"/>
      <c r="AI137" s="54"/>
      <c r="AJ137" s="54"/>
      <c r="AK137" s="54"/>
      <c r="AL137" s="54"/>
      <c r="AM137" s="54"/>
      <c r="AN137" s="54"/>
      <c r="AO137" s="54"/>
      <c r="AP137" s="54"/>
      <c r="AQ137" s="54"/>
      <c r="AR137" s="54"/>
      <c r="AS137" s="54"/>
      <c r="AT137" s="54"/>
      <c r="AU137" s="54"/>
      <c r="AV137" s="54"/>
      <c r="AW137" s="54"/>
      <c r="AX137" s="54"/>
      <c r="AY137" s="54"/>
      <c r="AZ137" s="54"/>
      <c r="BA137" s="54"/>
      <c r="BB137" s="54"/>
      <c r="BC137" s="54"/>
      <c r="BD137" s="54"/>
    </row>
    <row r="138" spans="1:56" s="32" customFormat="1" ht="19.899999999999999" x14ac:dyDescent="0.5">
      <c r="A138" s="30"/>
      <c r="B138" s="30"/>
      <c r="C138" s="30"/>
      <c r="D138" s="54"/>
      <c r="E138" s="54"/>
      <c r="F138" s="54"/>
      <c r="G138" s="54"/>
      <c r="H138" s="54"/>
      <c r="I138" s="54"/>
      <c r="J138" s="54"/>
      <c r="K138" s="54"/>
      <c r="L138" s="54"/>
      <c r="M138" s="54"/>
      <c r="N138" s="54"/>
      <c r="O138" s="54"/>
      <c r="P138" s="54"/>
      <c r="Q138" s="54"/>
      <c r="R138" s="54"/>
      <c r="S138" s="54"/>
      <c r="T138" s="54"/>
      <c r="U138" s="54"/>
      <c r="V138" s="54"/>
      <c r="W138" s="54"/>
      <c r="X138" s="54"/>
      <c r="Y138" s="54"/>
      <c r="Z138" s="54"/>
      <c r="AA138" s="54"/>
      <c r="AB138" s="54"/>
      <c r="AC138" s="54"/>
      <c r="AD138" s="54"/>
      <c r="AE138" s="54"/>
      <c r="AF138" s="54"/>
      <c r="AG138" s="54"/>
      <c r="AH138" s="54"/>
      <c r="AI138" s="54"/>
      <c r="AJ138" s="54"/>
      <c r="AK138" s="54"/>
      <c r="AL138" s="54"/>
      <c r="AM138" s="54"/>
      <c r="AN138" s="54"/>
      <c r="AO138" s="54"/>
      <c r="AP138" s="54"/>
      <c r="AQ138" s="54"/>
      <c r="AR138" s="54"/>
      <c r="AS138" s="54"/>
      <c r="AT138" s="54"/>
      <c r="AU138" s="54"/>
      <c r="AV138" s="54"/>
      <c r="AW138" s="54"/>
      <c r="AX138" s="54"/>
      <c r="AY138" s="54"/>
      <c r="AZ138" s="54"/>
      <c r="BA138" s="54"/>
      <c r="BB138" s="54"/>
      <c r="BC138" s="54"/>
      <c r="BD138" s="54"/>
    </row>
    <row r="139" spans="1:56" s="32" customFormat="1" ht="19.899999999999999" x14ac:dyDescent="0.5">
      <c r="A139" s="30"/>
      <c r="B139" s="30"/>
      <c r="C139" s="30"/>
      <c r="D139" s="54"/>
      <c r="E139" s="54"/>
      <c r="F139" s="54"/>
      <c r="G139" s="54"/>
      <c r="H139" s="54"/>
      <c r="I139" s="54"/>
      <c r="J139" s="54"/>
      <c r="K139" s="54"/>
      <c r="L139" s="54"/>
      <c r="M139" s="54"/>
      <c r="N139" s="54"/>
      <c r="O139" s="54"/>
      <c r="P139" s="54"/>
      <c r="Q139" s="54"/>
      <c r="R139" s="54"/>
      <c r="S139" s="54"/>
      <c r="T139" s="54"/>
      <c r="U139" s="54"/>
      <c r="V139" s="54"/>
      <c r="W139" s="54"/>
      <c r="X139" s="54"/>
      <c r="Y139" s="54"/>
      <c r="Z139" s="54"/>
      <c r="AA139" s="54"/>
      <c r="AB139" s="54"/>
      <c r="AC139" s="54"/>
      <c r="AD139" s="54"/>
      <c r="AE139" s="54"/>
      <c r="AF139" s="54"/>
      <c r="AG139" s="54"/>
      <c r="AH139" s="54"/>
      <c r="AI139" s="54"/>
      <c r="AJ139" s="54"/>
      <c r="AK139" s="54"/>
      <c r="AL139" s="54"/>
      <c r="AM139" s="54"/>
      <c r="AN139" s="54"/>
      <c r="AO139" s="54"/>
      <c r="AP139" s="54"/>
      <c r="AQ139" s="54"/>
      <c r="AR139" s="54"/>
      <c r="AS139" s="54"/>
      <c r="AT139" s="54"/>
      <c r="AU139" s="54"/>
      <c r="AV139" s="54"/>
      <c r="AW139" s="54"/>
      <c r="AX139" s="54"/>
      <c r="AY139" s="54"/>
      <c r="AZ139" s="54"/>
      <c r="BA139" s="54"/>
      <c r="BB139" s="54"/>
      <c r="BC139" s="54"/>
      <c r="BD139" s="54"/>
    </row>
    <row r="140" spans="1:56" s="32" customFormat="1" ht="19.899999999999999" x14ac:dyDescent="0.5">
      <c r="A140" s="30"/>
      <c r="B140" s="30"/>
      <c r="C140" s="30"/>
      <c r="D140" s="54"/>
      <c r="E140" s="54"/>
      <c r="F140" s="54"/>
      <c r="G140" s="54"/>
      <c r="H140" s="54"/>
      <c r="I140" s="54"/>
      <c r="J140" s="54"/>
      <c r="K140" s="54"/>
      <c r="L140" s="54"/>
      <c r="M140" s="54"/>
      <c r="N140" s="54"/>
      <c r="O140" s="54"/>
      <c r="P140" s="54"/>
      <c r="Q140" s="54"/>
      <c r="R140" s="54"/>
      <c r="S140" s="54"/>
      <c r="T140" s="54"/>
      <c r="U140" s="54"/>
      <c r="V140" s="54"/>
      <c r="W140" s="54"/>
      <c r="X140" s="54"/>
      <c r="Y140" s="54"/>
      <c r="Z140" s="54"/>
      <c r="AA140" s="54"/>
      <c r="AB140" s="54"/>
      <c r="AC140" s="54"/>
      <c r="AD140" s="54"/>
      <c r="AE140" s="54"/>
      <c r="AF140" s="54"/>
      <c r="AG140" s="54"/>
      <c r="AH140" s="54"/>
      <c r="AI140" s="54"/>
      <c r="AJ140" s="54"/>
      <c r="AK140" s="54"/>
      <c r="AL140" s="54"/>
      <c r="AM140" s="54"/>
      <c r="AN140" s="54"/>
      <c r="AO140" s="54"/>
      <c r="AP140" s="54"/>
      <c r="AQ140" s="54"/>
      <c r="AR140" s="54"/>
      <c r="AS140" s="54"/>
      <c r="AT140" s="54"/>
      <c r="AU140" s="54"/>
      <c r="AV140" s="54"/>
      <c r="AW140" s="54"/>
      <c r="AX140" s="54"/>
      <c r="AY140" s="54"/>
      <c r="AZ140" s="54"/>
      <c r="BA140" s="54"/>
      <c r="BB140" s="54"/>
      <c r="BC140" s="54"/>
      <c r="BD140" s="54"/>
    </row>
    <row r="141" spans="1:56" s="32" customFormat="1" ht="19.899999999999999" x14ac:dyDescent="0.5">
      <c r="A141" s="30"/>
      <c r="B141" s="30"/>
      <c r="C141" s="30"/>
      <c r="D141" s="54"/>
      <c r="E141" s="54"/>
      <c r="F141" s="54"/>
      <c r="G141" s="54"/>
      <c r="H141" s="54"/>
      <c r="I141" s="54"/>
      <c r="J141" s="54"/>
      <c r="K141" s="54"/>
      <c r="L141" s="54"/>
      <c r="M141" s="54"/>
      <c r="N141" s="54"/>
      <c r="O141" s="54"/>
      <c r="P141" s="54"/>
      <c r="Q141" s="54"/>
      <c r="R141" s="54"/>
      <c r="S141" s="54"/>
      <c r="T141" s="54"/>
      <c r="U141" s="54"/>
      <c r="V141" s="54"/>
      <c r="W141" s="54"/>
      <c r="X141" s="54"/>
      <c r="Y141" s="54"/>
      <c r="Z141" s="54"/>
      <c r="AA141" s="54"/>
      <c r="AB141" s="54"/>
      <c r="AC141" s="54"/>
      <c r="AD141" s="54"/>
      <c r="AE141" s="54"/>
      <c r="AF141" s="54"/>
      <c r="AG141" s="54"/>
      <c r="AH141" s="54"/>
      <c r="AI141" s="54"/>
      <c r="AJ141" s="54"/>
      <c r="AK141" s="54"/>
      <c r="AL141" s="54"/>
      <c r="AM141" s="54"/>
      <c r="AN141" s="54"/>
      <c r="AO141" s="54"/>
      <c r="AP141" s="54"/>
      <c r="AQ141" s="54"/>
      <c r="AR141" s="54"/>
      <c r="AS141" s="54"/>
      <c r="AT141" s="54"/>
      <c r="AU141" s="54"/>
      <c r="AV141" s="54"/>
      <c r="AW141" s="54"/>
      <c r="AX141" s="54"/>
      <c r="AY141" s="54"/>
      <c r="AZ141" s="54"/>
      <c r="BA141" s="54"/>
      <c r="BB141" s="54"/>
      <c r="BC141" s="54"/>
      <c r="BD141" s="54"/>
    </row>
    <row r="142" spans="1:56" s="32" customFormat="1" ht="19.899999999999999" x14ac:dyDescent="0.5">
      <c r="A142" s="30"/>
      <c r="B142" s="30"/>
      <c r="C142" s="30"/>
      <c r="D142" s="54"/>
      <c r="E142" s="54"/>
      <c r="F142" s="54"/>
      <c r="G142" s="54"/>
      <c r="H142" s="54"/>
      <c r="I142" s="54"/>
      <c r="J142" s="54"/>
      <c r="K142" s="54"/>
      <c r="L142" s="54"/>
      <c r="M142" s="54"/>
      <c r="N142" s="54"/>
      <c r="O142" s="54"/>
      <c r="P142" s="54"/>
      <c r="Q142" s="54"/>
      <c r="R142" s="54"/>
      <c r="S142" s="54"/>
      <c r="T142" s="54"/>
      <c r="U142" s="54"/>
      <c r="V142" s="54"/>
      <c r="W142" s="54"/>
      <c r="X142" s="54"/>
      <c r="Y142" s="54"/>
      <c r="Z142" s="54"/>
      <c r="AA142" s="54"/>
      <c r="AB142" s="54"/>
      <c r="AC142" s="54"/>
      <c r="AD142" s="54"/>
      <c r="AE142" s="54"/>
      <c r="AF142" s="54"/>
      <c r="AG142" s="54"/>
      <c r="AH142" s="54"/>
      <c r="AI142" s="54"/>
      <c r="AJ142" s="54"/>
      <c r="AK142" s="54"/>
      <c r="AL142" s="54"/>
      <c r="AM142" s="54"/>
      <c r="AN142" s="54"/>
      <c r="AO142" s="54"/>
      <c r="AP142" s="54"/>
      <c r="AQ142" s="54"/>
      <c r="AR142" s="54"/>
      <c r="AS142" s="54"/>
      <c r="AT142" s="54"/>
      <c r="AU142" s="54"/>
      <c r="AV142" s="54"/>
      <c r="AW142" s="54"/>
      <c r="AX142" s="54"/>
      <c r="AY142" s="54"/>
      <c r="AZ142" s="54"/>
      <c r="BA142" s="54"/>
      <c r="BB142" s="54"/>
      <c r="BC142" s="54"/>
      <c r="BD142" s="54"/>
    </row>
    <row r="143" spans="1:56" s="32" customFormat="1" ht="19.899999999999999" x14ac:dyDescent="0.5">
      <c r="A143" s="30"/>
      <c r="B143" s="30"/>
      <c r="C143" s="30"/>
      <c r="D143" s="54"/>
      <c r="E143" s="54"/>
      <c r="F143" s="54"/>
      <c r="G143" s="54"/>
      <c r="H143" s="54"/>
      <c r="I143" s="54"/>
      <c r="J143" s="54"/>
      <c r="K143" s="54"/>
      <c r="L143" s="54"/>
      <c r="M143" s="54"/>
      <c r="N143" s="54"/>
      <c r="O143" s="54"/>
      <c r="P143" s="54"/>
      <c r="Q143" s="54"/>
      <c r="R143" s="54"/>
      <c r="S143" s="54"/>
      <c r="T143" s="54"/>
      <c r="U143" s="54"/>
      <c r="V143" s="54"/>
      <c r="W143" s="54"/>
      <c r="X143" s="54"/>
      <c r="Y143" s="54"/>
      <c r="Z143" s="54"/>
      <c r="AA143" s="54"/>
      <c r="AB143" s="54"/>
      <c r="AC143" s="54"/>
      <c r="AD143" s="54"/>
      <c r="AE143" s="54"/>
      <c r="AF143" s="54"/>
      <c r="AG143" s="54"/>
      <c r="AH143" s="54"/>
      <c r="AI143" s="54"/>
      <c r="AJ143" s="54"/>
      <c r="AK143" s="54"/>
      <c r="AL143" s="54"/>
      <c r="AM143" s="54"/>
      <c r="AN143" s="54"/>
      <c r="AO143" s="54"/>
      <c r="AP143" s="54"/>
      <c r="AQ143" s="54"/>
      <c r="AR143" s="54"/>
      <c r="AS143" s="54"/>
      <c r="AT143" s="54"/>
      <c r="AU143" s="54"/>
      <c r="AV143" s="54"/>
      <c r="AW143" s="54"/>
      <c r="AX143" s="54"/>
      <c r="AY143" s="54"/>
      <c r="AZ143" s="54"/>
      <c r="BA143" s="54"/>
      <c r="BB143" s="54"/>
      <c r="BC143" s="54"/>
      <c r="BD143" s="54"/>
    </row>
    <row r="144" spans="1:56" s="32" customFormat="1" ht="19.899999999999999" x14ac:dyDescent="0.5">
      <c r="A144" s="30"/>
      <c r="B144" s="30"/>
      <c r="C144" s="30"/>
      <c r="D144" s="54"/>
      <c r="E144" s="54"/>
      <c r="F144" s="54"/>
      <c r="G144" s="54"/>
      <c r="H144" s="54"/>
      <c r="I144" s="54"/>
      <c r="J144" s="54"/>
      <c r="K144" s="54"/>
      <c r="L144" s="54"/>
      <c r="M144" s="54"/>
      <c r="N144" s="54"/>
      <c r="O144" s="54"/>
      <c r="P144" s="54"/>
      <c r="Q144" s="54"/>
      <c r="R144" s="54"/>
      <c r="S144" s="54"/>
      <c r="T144" s="54"/>
      <c r="U144" s="54"/>
      <c r="V144" s="54"/>
      <c r="W144" s="54"/>
      <c r="X144" s="54"/>
      <c r="Y144" s="54"/>
      <c r="Z144" s="54"/>
      <c r="AA144" s="54"/>
      <c r="AB144" s="54"/>
      <c r="AC144" s="54"/>
      <c r="AD144" s="54"/>
      <c r="AE144" s="54"/>
      <c r="AF144" s="54"/>
      <c r="AG144" s="54"/>
      <c r="AH144" s="54"/>
      <c r="AI144" s="54"/>
      <c r="AJ144" s="54"/>
      <c r="AK144" s="54"/>
      <c r="AL144" s="54"/>
      <c r="AM144" s="54"/>
      <c r="AN144" s="54"/>
      <c r="AO144" s="54"/>
      <c r="AP144" s="54"/>
      <c r="AQ144" s="54"/>
      <c r="AR144" s="54"/>
      <c r="AS144" s="54"/>
      <c r="AT144" s="54"/>
      <c r="AU144" s="54"/>
      <c r="AV144" s="54"/>
      <c r="AW144" s="54"/>
      <c r="AX144" s="54"/>
      <c r="AY144" s="54"/>
      <c r="AZ144" s="54"/>
      <c r="BA144" s="54"/>
      <c r="BB144" s="54"/>
      <c r="BC144" s="54"/>
      <c r="BD144" s="54"/>
    </row>
    <row r="145" spans="1:56" s="32" customFormat="1" ht="19.899999999999999" x14ac:dyDescent="0.5">
      <c r="A145" s="30"/>
      <c r="B145" s="30"/>
      <c r="C145" s="30"/>
      <c r="D145" s="54"/>
      <c r="E145" s="54"/>
      <c r="F145" s="54"/>
      <c r="G145" s="54"/>
      <c r="H145" s="54"/>
      <c r="I145" s="54"/>
      <c r="J145" s="54"/>
      <c r="K145" s="54"/>
      <c r="L145" s="54"/>
      <c r="M145" s="54"/>
      <c r="N145" s="54"/>
      <c r="O145" s="54"/>
      <c r="P145" s="54"/>
      <c r="Q145" s="54"/>
      <c r="R145" s="54"/>
      <c r="S145" s="54"/>
      <c r="T145" s="54"/>
      <c r="U145" s="54"/>
      <c r="V145" s="54"/>
      <c r="W145" s="54"/>
      <c r="X145" s="54"/>
      <c r="Y145" s="54"/>
      <c r="Z145" s="54"/>
      <c r="AA145" s="54"/>
      <c r="AB145" s="54"/>
      <c r="AC145" s="54"/>
      <c r="AD145" s="54"/>
      <c r="AE145" s="54"/>
      <c r="AF145" s="54"/>
      <c r="AG145" s="54"/>
      <c r="AH145" s="54"/>
      <c r="AI145" s="54"/>
      <c r="AJ145" s="54"/>
      <c r="AK145" s="54"/>
      <c r="AL145" s="54"/>
      <c r="AM145" s="54"/>
      <c r="AN145" s="54"/>
      <c r="AO145" s="54"/>
      <c r="AP145" s="54"/>
      <c r="AQ145" s="54"/>
      <c r="AR145" s="54"/>
      <c r="AS145" s="54"/>
      <c r="AT145" s="54"/>
      <c r="AU145" s="54"/>
      <c r="AV145" s="54"/>
      <c r="AW145" s="54"/>
      <c r="AX145" s="54"/>
      <c r="AY145" s="54"/>
      <c r="AZ145" s="54"/>
      <c r="BA145" s="54"/>
      <c r="BB145" s="54"/>
      <c r="BC145" s="54"/>
      <c r="BD145" s="54"/>
    </row>
    <row r="146" spans="1:56" s="32" customFormat="1" ht="19.899999999999999" x14ac:dyDescent="0.5">
      <c r="A146" s="30"/>
      <c r="B146" s="30"/>
      <c r="C146" s="30"/>
      <c r="D146" s="54"/>
      <c r="E146" s="54"/>
      <c r="F146" s="54"/>
      <c r="G146" s="54"/>
      <c r="H146" s="54"/>
      <c r="I146" s="54"/>
      <c r="J146" s="54"/>
      <c r="K146" s="54"/>
      <c r="L146" s="54"/>
      <c r="M146" s="54"/>
      <c r="N146" s="54"/>
      <c r="O146" s="54"/>
      <c r="P146" s="54"/>
      <c r="Q146" s="54"/>
      <c r="R146" s="54"/>
      <c r="S146" s="54"/>
      <c r="T146" s="54"/>
      <c r="U146" s="54"/>
      <c r="V146" s="54"/>
      <c r="W146" s="54"/>
      <c r="X146" s="54"/>
      <c r="Y146" s="54"/>
      <c r="Z146" s="54"/>
      <c r="AA146" s="54"/>
      <c r="AB146" s="54"/>
      <c r="AC146" s="54"/>
      <c r="AD146" s="54"/>
      <c r="AE146" s="54"/>
      <c r="AF146" s="54"/>
      <c r="AG146" s="54"/>
      <c r="AH146" s="54"/>
      <c r="AI146" s="54"/>
      <c r="AJ146" s="54"/>
      <c r="AK146" s="54"/>
      <c r="AL146" s="54"/>
      <c r="AM146" s="54"/>
      <c r="AN146" s="54"/>
      <c r="AO146" s="54"/>
      <c r="AP146" s="54"/>
      <c r="AQ146" s="54"/>
      <c r="AR146" s="54"/>
      <c r="AS146" s="54"/>
      <c r="AT146" s="54"/>
      <c r="AU146" s="54"/>
      <c r="AV146" s="54"/>
      <c r="AW146" s="54"/>
      <c r="AX146" s="54"/>
      <c r="AY146" s="54"/>
      <c r="AZ146" s="54"/>
      <c r="BA146" s="54"/>
      <c r="BB146" s="54"/>
      <c r="BC146" s="54"/>
      <c r="BD146" s="54"/>
    </row>
    <row r="147" spans="1:56" s="32" customFormat="1" ht="19.899999999999999" x14ac:dyDescent="0.5">
      <c r="A147" s="30"/>
      <c r="B147" s="30"/>
      <c r="C147" s="30"/>
      <c r="D147" s="54"/>
      <c r="E147" s="54"/>
      <c r="F147" s="54"/>
      <c r="G147" s="54"/>
      <c r="H147" s="54"/>
      <c r="I147" s="54"/>
      <c r="J147" s="54"/>
      <c r="K147" s="54"/>
      <c r="L147" s="54"/>
      <c r="M147" s="54"/>
      <c r="N147" s="54"/>
      <c r="O147" s="54"/>
      <c r="P147" s="54"/>
      <c r="Q147" s="54"/>
      <c r="R147" s="54"/>
      <c r="S147" s="54"/>
      <c r="T147" s="54"/>
      <c r="U147" s="54"/>
      <c r="V147" s="54"/>
      <c r="W147" s="54"/>
      <c r="X147" s="54"/>
      <c r="Y147" s="54"/>
      <c r="Z147" s="54"/>
      <c r="AA147" s="54"/>
      <c r="AB147" s="54"/>
      <c r="AC147" s="54"/>
      <c r="AD147" s="54"/>
      <c r="AE147" s="54"/>
      <c r="AF147" s="54"/>
      <c r="AG147" s="54"/>
      <c r="AH147" s="54"/>
      <c r="AI147" s="54"/>
      <c r="AJ147" s="54"/>
      <c r="AK147" s="54"/>
      <c r="AL147" s="54"/>
      <c r="AM147" s="54"/>
      <c r="AN147" s="54"/>
      <c r="AO147" s="54"/>
      <c r="AP147" s="54"/>
      <c r="AQ147" s="54"/>
      <c r="AR147" s="54"/>
      <c r="AS147" s="54"/>
      <c r="AT147" s="54"/>
      <c r="AU147" s="54"/>
      <c r="AV147" s="54"/>
      <c r="AW147" s="54"/>
      <c r="AX147" s="54"/>
      <c r="AY147" s="54"/>
      <c r="AZ147" s="54"/>
      <c r="BA147" s="54"/>
      <c r="BB147" s="54"/>
      <c r="BC147" s="54"/>
      <c r="BD147" s="54"/>
    </row>
    <row r="148" spans="1:56" s="32" customFormat="1" ht="19.899999999999999" x14ac:dyDescent="0.5">
      <c r="A148" s="30"/>
      <c r="B148" s="30"/>
      <c r="C148" s="30"/>
      <c r="D148" s="54"/>
      <c r="E148" s="54"/>
      <c r="F148" s="54"/>
      <c r="G148" s="54"/>
      <c r="H148" s="54"/>
      <c r="I148" s="54"/>
      <c r="J148" s="54"/>
      <c r="K148" s="54"/>
      <c r="L148" s="54"/>
      <c r="M148" s="54"/>
      <c r="N148" s="54"/>
      <c r="O148" s="54"/>
      <c r="P148" s="54"/>
      <c r="Q148" s="54"/>
      <c r="R148" s="54"/>
      <c r="S148" s="54"/>
      <c r="T148" s="54"/>
      <c r="U148" s="54"/>
      <c r="V148" s="54"/>
      <c r="W148" s="54"/>
      <c r="X148" s="54"/>
      <c r="Y148" s="54"/>
      <c r="Z148" s="54"/>
      <c r="AA148" s="54"/>
      <c r="AB148" s="54"/>
      <c r="AC148" s="54"/>
      <c r="AD148" s="54"/>
      <c r="AE148" s="54"/>
      <c r="AF148" s="54"/>
      <c r="AG148" s="54"/>
      <c r="AH148" s="54"/>
      <c r="AI148" s="54"/>
      <c r="AJ148" s="54"/>
      <c r="AK148" s="54"/>
      <c r="AL148" s="54"/>
      <c r="AM148" s="54"/>
      <c r="AN148" s="54"/>
      <c r="AO148" s="54"/>
      <c r="AP148" s="54"/>
      <c r="AQ148" s="54"/>
      <c r="AR148" s="54"/>
      <c r="AS148" s="54"/>
      <c r="AT148" s="54"/>
      <c r="AU148" s="54"/>
      <c r="AV148" s="54"/>
      <c r="AW148" s="54"/>
      <c r="AX148" s="54"/>
      <c r="AY148" s="54"/>
      <c r="AZ148" s="54"/>
      <c r="BA148" s="54"/>
      <c r="BB148" s="54"/>
      <c r="BC148" s="54"/>
      <c r="BD148" s="54"/>
    </row>
    <row r="149" spans="1:56" s="32" customFormat="1" ht="19.899999999999999" x14ac:dyDescent="0.5">
      <c r="A149" s="30"/>
      <c r="B149" s="30"/>
      <c r="C149" s="30"/>
      <c r="D149" s="54"/>
      <c r="E149" s="54"/>
      <c r="F149" s="54"/>
      <c r="G149" s="54"/>
      <c r="H149" s="54"/>
      <c r="I149" s="54"/>
      <c r="J149" s="54"/>
      <c r="K149" s="54"/>
      <c r="L149" s="54"/>
      <c r="M149" s="54"/>
      <c r="N149" s="54"/>
      <c r="O149" s="54"/>
      <c r="P149" s="54"/>
      <c r="Q149" s="54"/>
      <c r="R149" s="54"/>
      <c r="S149" s="54"/>
      <c r="T149" s="54"/>
      <c r="U149" s="54"/>
      <c r="V149" s="54"/>
      <c r="W149" s="54"/>
      <c r="X149" s="54"/>
      <c r="Y149" s="54"/>
      <c r="Z149" s="54"/>
      <c r="AA149" s="54"/>
      <c r="AB149" s="54"/>
      <c r="AC149" s="54"/>
      <c r="AD149" s="54"/>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A149" s="54"/>
      <c r="BB149" s="54"/>
      <c r="BC149" s="54"/>
      <c r="BD149" s="54"/>
    </row>
    <row r="150" spans="1:56" s="32" customFormat="1" ht="19.899999999999999" x14ac:dyDescent="0.5">
      <c r="A150" s="30"/>
      <c r="B150" s="30"/>
      <c r="C150" s="30"/>
      <c r="D150" s="54"/>
      <c r="E150" s="54"/>
      <c r="F150" s="54"/>
      <c r="G150" s="54"/>
      <c r="H150" s="54"/>
      <c r="I150" s="54"/>
      <c r="J150" s="54"/>
      <c r="K150" s="54"/>
      <c r="L150" s="54"/>
      <c r="M150" s="54"/>
      <c r="N150" s="54"/>
      <c r="O150" s="54"/>
      <c r="P150" s="54"/>
      <c r="Q150" s="54"/>
      <c r="R150" s="54"/>
      <c r="S150" s="54"/>
      <c r="T150" s="54"/>
      <c r="U150" s="54"/>
      <c r="V150" s="54"/>
      <c r="W150" s="54"/>
      <c r="X150" s="54"/>
      <c r="Y150" s="54"/>
      <c r="Z150" s="54"/>
      <c r="AA150" s="54"/>
      <c r="AB150" s="54"/>
      <c r="AC150" s="54"/>
      <c r="AD150" s="54"/>
      <c r="AE150" s="54"/>
      <c r="AF150" s="54"/>
      <c r="AG150" s="54"/>
      <c r="AH150" s="54"/>
      <c r="AI150" s="54"/>
      <c r="AJ150" s="54"/>
      <c r="AK150" s="54"/>
      <c r="AL150" s="54"/>
      <c r="AM150" s="54"/>
      <c r="AN150" s="54"/>
      <c r="AO150" s="54"/>
      <c r="AP150" s="54"/>
      <c r="AQ150" s="54"/>
      <c r="AR150" s="54"/>
      <c r="AS150" s="54"/>
      <c r="AT150" s="54"/>
      <c r="AU150" s="54"/>
      <c r="AV150" s="54"/>
      <c r="AW150" s="54"/>
      <c r="AX150" s="54"/>
      <c r="AY150" s="54"/>
      <c r="AZ150" s="54"/>
      <c r="BA150" s="54"/>
      <c r="BB150" s="54"/>
      <c r="BC150" s="54"/>
      <c r="BD150" s="54"/>
    </row>
    <row r="151" spans="1:56" s="32" customFormat="1" ht="19.899999999999999" x14ac:dyDescent="0.5">
      <c r="A151" s="30"/>
      <c r="B151" s="30"/>
      <c r="C151" s="30"/>
      <c r="D151" s="54"/>
      <c r="E151" s="54"/>
      <c r="F151" s="54"/>
      <c r="G151" s="54"/>
      <c r="H151" s="54"/>
      <c r="I151" s="54"/>
      <c r="J151" s="54"/>
      <c r="K151" s="54"/>
      <c r="L151" s="54"/>
      <c r="M151" s="54"/>
      <c r="N151" s="54"/>
      <c r="O151" s="54"/>
      <c r="P151" s="54"/>
      <c r="Q151" s="54"/>
      <c r="R151" s="54"/>
      <c r="S151" s="54"/>
      <c r="T151" s="54"/>
      <c r="U151" s="54"/>
      <c r="V151" s="54"/>
      <c r="W151" s="54"/>
      <c r="X151" s="54"/>
      <c r="Y151" s="54"/>
      <c r="Z151" s="54"/>
      <c r="AA151" s="54"/>
      <c r="AB151" s="54"/>
      <c r="AC151" s="54"/>
      <c r="AD151" s="54"/>
      <c r="AE151" s="54"/>
      <c r="AF151" s="54"/>
      <c r="AG151" s="54"/>
      <c r="AH151" s="54"/>
      <c r="AI151" s="54"/>
      <c r="AJ151" s="54"/>
      <c r="AK151" s="54"/>
      <c r="AL151" s="54"/>
      <c r="AM151" s="54"/>
      <c r="AN151" s="54"/>
      <c r="AO151" s="54"/>
      <c r="AP151" s="54"/>
      <c r="AQ151" s="54"/>
      <c r="AR151" s="54"/>
      <c r="AS151" s="54"/>
      <c r="AT151" s="54"/>
      <c r="AU151" s="54"/>
      <c r="AV151" s="54"/>
      <c r="AW151" s="54"/>
      <c r="AX151" s="54"/>
      <c r="AY151" s="54"/>
      <c r="AZ151" s="54"/>
      <c r="BA151" s="54"/>
      <c r="BB151" s="54"/>
      <c r="BC151" s="54"/>
      <c r="BD151" s="54"/>
    </row>
    <row r="152" spans="1:56" s="32" customFormat="1" ht="19.899999999999999" x14ac:dyDescent="0.5">
      <c r="A152" s="30"/>
      <c r="B152" s="30"/>
      <c r="C152" s="30"/>
      <c r="D152" s="54"/>
      <c r="E152" s="54"/>
      <c r="F152" s="54"/>
      <c r="G152" s="54"/>
      <c r="H152" s="54"/>
      <c r="I152" s="54"/>
      <c r="J152" s="54"/>
      <c r="K152" s="54"/>
      <c r="L152" s="54"/>
      <c r="M152" s="54"/>
      <c r="N152" s="54"/>
      <c r="O152" s="54"/>
      <c r="P152" s="54"/>
      <c r="Q152" s="54"/>
      <c r="R152" s="54"/>
      <c r="S152" s="54"/>
      <c r="T152" s="54"/>
      <c r="U152" s="54"/>
      <c r="V152" s="54"/>
      <c r="W152" s="54"/>
      <c r="X152" s="54"/>
      <c r="Y152" s="54"/>
      <c r="Z152" s="54"/>
      <c r="AA152" s="54"/>
      <c r="AB152" s="54"/>
      <c r="AC152" s="54"/>
      <c r="AD152" s="54"/>
      <c r="AE152" s="54"/>
      <c r="AF152" s="54"/>
      <c r="AG152" s="54"/>
      <c r="AH152" s="54"/>
      <c r="AI152" s="54"/>
      <c r="AJ152" s="54"/>
      <c r="AK152" s="54"/>
      <c r="AL152" s="54"/>
      <c r="AM152" s="54"/>
      <c r="AN152" s="54"/>
      <c r="AO152" s="54"/>
      <c r="AP152" s="54"/>
      <c r="AQ152" s="54"/>
      <c r="AR152" s="54"/>
      <c r="AS152" s="54"/>
      <c r="AT152" s="54"/>
      <c r="AU152" s="54"/>
      <c r="AV152" s="54"/>
      <c r="AW152" s="54"/>
      <c r="AX152" s="54"/>
      <c r="AY152" s="54"/>
      <c r="AZ152" s="54"/>
      <c r="BA152" s="54"/>
      <c r="BB152" s="54"/>
      <c r="BC152" s="54"/>
      <c r="BD152" s="54"/>
    </row>
    <row r="153" spans="1:56" s="32" customFormat="1" ht="19.899999999999999" x14ac:dyDescent="0.5">
      <c r="A153" s="30"/>
      <c r="B153" s="30"/>
      <c r="C153" s="30"/>
      <c r="D153" s="54"/>
      <c r="E153" s="54"/>
      <c r="F153" s="54"/>
      <c r="G153" s="54"/>
      <c r="H153" s="54"/>
      <c r="I153" s="54"/>
      <c r="J153" s="54"/>
      <c r="K153" s="54"/>
      <c r="L153" s="54"/>
      <c r="M153" s="54"/>
      <c r="N153" s="54"/>
      <c r="O153" s="54"/>
      <c r="P153" s="54"/>
      <c r="Q153" s="54"/>
      <c r="R153" s="54"/>
      <c r="S153" s="54"/>
      <c r="T153" s="54"/>
      <c r="U153" s="54"/>
      <c r="V153" s="54"/>
      <c r="W153" s="54"/>
      <c r="X153" s="54"/>
      <c r="Y153" s="54"/>
      <c r="Z153" s="54"/>
      <c r="AA153" s="54"/>
      <c r="AB153" s="54"/>
      <c r="AC153" s="54"/>
      <c r="AD153" s="54"/>
      <c r="AE153" s="54"/>
      <c r="AF153" s="54"/>
      <c r="AG153" s="54"/>
      <c r="AH153" s="54"/>
      <c r="AI153" s="54"/>
      <c r="AJ153" s="54"/>
      <c r="AK153" s="54"/>
      <c r="AL153" s="54"/>
      <c r="AM153" s="54"/>
      <c r="AN153" s="54"/>
      <c r="AO153" s="54"/>
      <c r="AP153" s="54"/>
      <c r="AQ153" s="54"/>
      <c r="AR153" s="54"/>
      <c r="AS153" s="54"/>
      <c r="AT153" s="54"/>
      <c r="AU153" s="54"/>
      <c r="AV153" s="54"/>
      <c r="AW153" s="54"/>
      <c r="AX153" s="54"/>
      <c r="AY153" s="54"/>
      <c r="AZ153" s="54"/>
      <c r="BA153" s="54"/>
      <c r="BB153" s="54"/>
      <c r="BC153" s="54"/>
      <c r="BD153" s="54"/>
    </row>
    <row r="154" spans="1:56" s="32" customFormat="1" ht="19.899999999999999" x14ac:dyDescent="0.5">
      <c r="A154" s="30"/>
      <c r="B154" s="30"/>
      <c r="C154" s="30"/>
      <c r="D154" s="54"/>
      <c r="E154" s="54"/>
      <c r="F154" s="54"/>
      <c r="G154" s="54"/>
      <c r="H154" s="54"/>
      <c r="I154" s="54"/>
      <c r="J154" s="54"/>
      <c r="K154" s="54"/>
      <c r="L154" s="54"/>
      <c r="M154" s="54"/>
      <c r="N154" s="54"/>
      <c r="O154" s="54"/>
      <c r="P154" s="54"/>
      <c r="Q154" s="54"/>
      <c r="R154" s="54"/>
      <c r="S154" s="54"/>
      <c r="T154" s="54"/>
      <c r="U154" s="54"/>
      <c r="V154" s="54"/>
      <c r="W154" s="54"/>
      <c r="X154" s="54"/>
      <c r="Y154" s="54"/>
      <c r="Z154" s="54"/>
      <c r="AA154" s="54"/>
      <c r="AB154" s="54"/>
      <c r="AC154" s="54"/>
      <c r="AD154" s="54"/>
      <c r="AE154" s="54"/>
      <c r="AF154" s="54"/>
      <c r="AG154" s="54"/>
      <c r="AH154" s="54"/>
      <c r="AI154" s="54"/>
      <c r="AJ154" s="54"/>
      <c r="AK154" s="54"/>
      <c r="AL154" s="54"/>
      <c r="AM154" s="54"/>
      <c r="AN154" s="54"/>
      <c r="AO154" s="54"/>
      <c r="AP154" s="54"/>
      <c r="AQ154" s="54"/>
      <c r="AR154" s="54"/>
      <c r="AS154" s="54"/>
      <c r="AT154" s="54"/>
      <c r="AU154" s="54"/>
      <c r="AV154" s="54"/>
      <c r="AW154" s="54"/>
      <c r="AX154" s="54"/>
      <c r="AY154" s="54"/>
      <c r="AZ154" s="54"/>
      <c r="BA154" s="54"/>
      <c r="BB154" s="54"/>
      <c r="BC154" s="54"/>
      <c r="BD154" s="54"/>
    </row>
    <row r="155" spans="1:56" s="32" customFormat="1" ht="19.899999999999999" x14ac:dyDescent="0.5">
      <c r="A155" s="30"/>
      <c r="B155" s="30"/>
      <c r="C155" s="30"/>
      <c r="D155" s="54"/>
      <c r="E155" s="54"/>
      <c r="F155" s="54"/>
      <c r="G155" s="54"/>
      <c r="H155" s="54"/>
      <c r="I155" s="54"/>
      <c r="J155" s="54"/>
      <c r="K155" s="54"/>
      <c r="L155" s="54"/>
      <c r="M155" s="54"/>
      <c r="N155" s="54"/>
      <c r="O155" s="54"/>
      <c r="P155" s="54"/>
      <c r="Q155" s="54"/>
      <c r="R155" s="54"/>
      <c r="S155" s="54"/>
      <c r="T155" s="54"/>
      <c r="U155" s="54"/>
      <c r="V155" s="54"/>
      <c r="W155" s="54"/>
      <c r="X155" s="54"/>
      <c r="Y155" s="54"/>
      <c r="Z155" s="54"/>
      <c r="AA155" s="54"/>
      <c r="AB155" s="54"/>
      <c r="AC155" s="54"/>
      <c r="AD155" s="54"/>
      <c r="AE155" s="54"/>
      <c r="AF155" s="54"/>
      <c r="AG155" s="54"/>
      <c r="AH155" s="54"/>
      <c r="AI155" s="54"/>
      <c r="AJ155" s="54"/>
      <c r="AK155" s="54"/>
      <c r="AL155" s="54"/>
      <c r="AM155" s="54"/>
      <c r="AN155" s="54"/>
      <c r="AO155" s="54"/>
      <c r="AP155" s="54"/>
      <c r="AQ155" s="54"/>
      <c r="AR155" s="54"/>
      <c r="AS155" s="54"/>
      <c r="AT155" s="54"/>
      <c r="AU155" s="54"/>
      <c r="AV155" s="54"/>
      <c r="AW155" s="54"/>
      <c r="AX155" s="54"/>
      <c r="AY155" s="54"/>
      <c r="AZ155" s="54"/>
      <c r="BA155" s="54"/>
      <c r="BB155" s="54"/>
      <c r="BC155" s="54"/>
      <c r="BD155" s="54"/>
    </row>
    <row r="156" spans="1:56" s="32" customFormat="1" ht="19.899999999999999" x14ac:dyDescent="0.5">
      <c r="A156" s="30"/>
      <c r="B156" s="30"/>
      <c r="C156" s="30"/>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row>
    <row r="157" spans="1:56" s="32" customFormat="1" ht="19.899999999999999" x14ac:dyDescent="0.5">
      <c r="A157" s="30"/>
      <c r="B157" s="30"/>
      <c r="C157" s="30"/>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row>
    <row r="158" spans="1:56" s="32" customFormat="1" ht="19.899999999999999" x14ac:dyDescent="0.5">
      <c r="A158" s="30"/>
      <c r="B158" s="30"/>
      <c r="C158" s="30"/>
      <c r="D158" s="54"/>
      <c r="E158" s="54"/>
      <c r="F158" s="54"/>
      <c r="G158" s="54"/>
      <c r="H158" s="54"/>
      <c r="I158" s="54"/>
      <c r="J158" s="54"/>
      <c r="K158" s="54"/>
      <c r="L158" s="54"/>
      <c r="M158" s="54"/>
      <c r="N158" s="54"/>
      <c r="O158" s="54"/>
      <c r="P158" s="54"/>
      <c r="Q158" s="54"/>
      <c r="R158" s="54"/>
      <c r="S158" s="54"/>
      <c r="T158" s="54"/>
      <c r="U158" s="54"/>
      <c r="V158" s="54"/>
      <c r="W158" s="54"/>
      <c r="X158" s="54"/>
      <c r="Y158" s="54"/>
      <c r="Z158" s="54"/>
      <c r="AA158" s="54"/>
      <c r="AB158" s="54"/>
      <c r="AC158" s="54"/>
      <c r="AD158" s="54"/>
      <c r="AE158" s="54"/>
      <c r="AF158" s="54"/>
      <c r="AG158" s="54"/>
      <c r="AH158" s="54"/>
      <c r="AI158" s="54"/>
      <c r="AJ158" s="54"/>
      <c r="AK158" s="54"/>
      <c r="AL158" s="54"/>
      <c r="AM158" s="54"/>
      <c r="AN158" s="54"/>
      <c r="AO158" s="54"/>
      <c r="AP158" s="54"/>
      <c r="AQ158" s="54"/>
      <c r="AR158" s="54"/>
      <c r="AS158" s="54"/>
      <c r="AT158" s="54"/>
      <c r="AU158" s="54"/>
      <c r="AV158" s="54"/>
      <c r="AW158" s="54"/>
      <c r="AX158" s="54"/>
      <c r="AY158" s="54"/>
      <c r="AZ158" s="54"/>
      <c r="BA158" s="54"/>
      <c r="BB158" s="54"/>
      <c r="BC158" s="54"/>
      <c r="BD158" s="54"/>
    </row>
    <row r="159" spans="1:56" s="32" customFormat="1" ht="19.899999999999999" x14ac:dyDescent="0.5">
      <c r="A159" s="30"/>
      <c r="B159" s="30"/>
      <c r="C159" s="30"/>
      <c r="D159" s="54"/>
      <c r="E159" s="54"/>
      <c r="F159" s="54"/>
      <c r="G159" s="54"/>
      <c r="H159" s="54"/>
      <c r="I159" s="54"/>
      <c r="J159" s="54"/>
      <c r="K159" s="54"/>
      <c r="L159" s="54"/>
      <c r="M159" s="54"/>
      <c r="N159" s="54"/>
      <c r="O159" s="54"/>
      <c r="P159" s="54"/>
      <c r="Q159" s="54"/>
      <c r="R159" s="54"/>
      <c r="S159" s="54"/>
      <c r="T159" s="54"/>
      <c r="U159" s="54"/>
      <c r="V159" s="54"/>
      <c r="W159" s="54"/>
      <c r="X159" s="54"/>
      <c r="Y159" s="54"/>
      <c r="Z159" s="54"/>
      <c r="AA159" s="54"/>
      <c r="AB159" s="54"/>
      <c r="AC159" s="54"/>
      <c r="AD159" s="54"/>
      <c r="AE159" s="54"/>
      <c r="AF159" s="54"/>
      <c r="AG159" s="54"/>
      <c r="AH159" s="54"/>
      <c r="AI159" s="54"/>
      <c r="AJ159" s="54"/>
      <c r="AK159" s="54"/>
      <c r="AL159" s="54"/>
      <c r="AM159" s="54"/>
      <c r="AN159" s="54"/>
      <c r="AO159" s="54"/>
      <c r="AP159" s="54"/>
      <c r="AQ159" s="54"/>
      <c r="AR159" s="54"/>
      <c r="AS159" s="54"/>
      <c r="AT159" s="54"/>
      <c r="AU159" s="54"/>
      <c r="AV159" s="54"/>
      <c r="AW159" s="54"/>
      <c r="AX159" s="54"/>
      <c r="AY159" s="54"/>
      <c r="AZ159" s="54"/>
      <c r="BA159" s="54"/>
      <c r="BB159" s="54"/>
      <c r="BC159" s="54"/>
      <c r="BD159" s="54"/>
    </row>
    <row r="160" spans="1:56" s="32" customFormat="1" ht="19.899999999999999" x14ac:dyDescent="0.5">
      <c r="A160" s="30"/>
      <c r="B160" s="30"/>
      <c r="C160" s="30"/>
    </row>
    <row r="161" spans="1:3" s="32" customFormat="1" ht="19.899999999999999" x14ac:dyDescent="0.5">
      <c r="A161" s="30"/>
      <c r="B161" s="30"/>
      <c r="C161" s="30"/>
    </row>
    <row r="162" spans="1:3" s="32" customFormat="1" ht="19.899999999999999" x14ac:dyDescent="0.5">
      <c r="A162" s="30"/>
      <c r="B162" s="30"/>
      <c r="C162" s="30"/>
    </row>
    <row r="163" spans="1:3" s="32" customFormat="1" ht="19.899999999999999" x14ac:dyDescent="0.5">
      <c r="A163" s="30"/>
      <c r="B163" s="30"/>
      <c r="C163" s="30"/>
    </row>
    <row r="164" spans="1:3" s="32" customFormat="1" ht="19.899999999999999" x14ac:dyDescent="0.5">
      <c r="A164" s="30"/>
      <c r="B164" s="30"/>
      <c r="C164" s="30"/>
    </row>
    <row r="165" spans="1:3" s="32" customFormat="1" ht="19.899999999999999" x14ac:dyDescent="0.5">
      <c r="A165" s="30"/>
      <c r="B165" s="30"/>
      <c r="C165" s="3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0D0AB-E803-40A7-A5CE-5034AFFF4F5F}">
  <sheetPr codeName="Sheet10"/>
  <dimension ref="A1:Z100"/>
  <sheetViews>
    <sheetView zoomScale="76" workbookViewId="0">
      <selection activeCell="I44" sqref="I44"/>
    </sheetView>
  </sheetViews>
  <sheetFormatPr defaultColWidth="8.796875" defaultRowHeight="14.65" x14ac:dyDescent="0.5"/>
  <cols>
    <col min="1" max="1" width="2.1328125" style="43" customWidth="1"/>
    <col min="2" max="2" width="15.46484375" style="22" customWidth="1"/>
    <col min="3" max="3" width="16.33203125" style="22" customWidth="1"/>
    <col min="4" max="4" width="17" style="22" customWidth="1"/>
    <col min="5" max="5" width="16" style="22" customWidth="1"/>
    <col min="6" max="6" width="1.46484375" style="43" customWidth="1"/>
    <col min="7" max="7" width="18.46484375" style="22" customWidth="1"/>
    <col min="8" max="8" width="16.1328125" style="22" customWidth="1"/>
    <col min="9" max="9" width="15.796875" style="22" customWidth="1"/>
    <col min="10" max="26" width="11.46484375" style="22" bestFit="1" customWidth="1"/>
    <col min="27" max="16384" width="8.796875" style="22"/>
  </cols>
  <sheetData>
    <row r="1" spans="1:26" s="42" customFormat="1" x14ac:dyDescent="0.5">
      <c r="A1" s="70" t="s">
        <v>162</v>
      </c>
      <c r="B1" s="70"/>
      <c r="C1" s="70"/>
      <c r="D1" s="70"/>
      <c r="E1" s="70"/>
      <c r="F1" s="70"/>
      <c r="G1" s="70"/>
      <c r="H1" s="70"/>
      <c r="I1" s="70"/>
      <c r="J1" s="70"/>
      <c r="K1" s="70"/>
      <c r="L1" s="70"/>
      <c r="M1" s="70"/>
      <c r="N1" s="70"/>
      <c r="O1" s="70"/>
      <c r="P1" s="70"/>
      <c r="Q1" s="70"/>
      <c r="R1" s="70"/>
      <c r="S1" s="70"/>
      <c r="T1" s="70"/>
      <c r="U1" s="70"/>
      <c r="V1" s="70"/>
      <c r="W1" s="70"/>
      <c r="X1" s="70"/>
      <c r="Y1" s="70"/>
      <c r="Z1" s="70"/>
    </row>
    <row r="2" spans="1:26" s="42" customFormat="1" ht="77.25" customHeight="1" thickBot="1" x14ac:dyDescent="0.55000000000000004">
      <c r="A2" s="70"/>
      <c r="B2" s="70"/>
      <c r="C2" s="70"/>
      <c r="D2" s="70"/>
      <c r="E2" s="70"/>
      <c r="F2" s="70"/>
      <c r="G2" s="70"/>
      <c r="H2" s="70"/>
      <c r="I2" s="70"/>
      <c r="J2" s="70"/>
      <c r="K2" s="70"/>
      <c r="L2" s="70"/>
      <c r="M2" s="70"/>
      <c r="N2" s="70"/>
      <c r="O2" s="70"/>
      <c r="P2" s="70"/>
      <c r="Q2" s="70"/>
      <c r="R2" s="70"/>
      <c r="S2" s="70"/>
      <c r="T2" s="70"/>
      <c r="U2" s="70"/>
      <c r="V2" s="70"/>
      <c r="W2" s="70"/>
      <c r="X2" s="70"/>
      <c r="Y2" s="70"/>
      <c r="Z2" s="70"/>
    </row>
    <row r="3" spans="1:26" ht="15" thickBot="1" x14ac:dyDescent="0.55000000000000004">
      <c r="B3" s="47" t="s">
        <v>163</v>
      </c>
      <c r="C3" s="48">
        <f ca="1">TODAY()</f>
        <v>45694</v>
      </c>
    </row>
    <row r="5" spans="1:26" x14ac:dyDescent="0.5">
      <c r="G5" s="46" t="s">
        <v>164</v>
      </c>
      <c r="H5" s="46"/>
      <c r="I5" s="46"/>
      <c r="J5" s="46"/>
      <c r="K5" s="46"/>
      <c r="L5" s="46"/>
      <c r="M5" s="46"/>
      <c r="N5" s="46"/>
      <c r="O5" s="46"/>
      <c r="P5" s="46"/>
      <c r="Q5" s="46"/>
      <c r="R5" s="46"/>
      <c r="S5" s="46"/>
      <c r="T5" s="46"/>
      <c r="U5" s="46"/>
      <c r="V5" s="46"/>
      <c r="W5" s="46"/>
      <c r="X5" s="46"/>
      <c r="Y5" s="46"/>
      <c r="Z5" s="46"/>
    </row>
    <row r="6" spans="1:26" x14ac:dyDescent="0.5">
      <c r="B6" s="46" t="s">
        <v>165</v>
      </c>
      <c r="C6" s="46" t="s">
        <v>7</v>
      </c>
      <c r="D6" s="46" t="s">
        <v>8</v>
      </c>
      <c r="E6" s="46" t="s">
        <v>166</v>
      </c>
      <c r="G6" s="45">
        <f ca="1">TODAY()</f>
        <v>45694</v>
      </c>
      <c r="H6" s="45">
        <f ca="1">TODAY()+1</f>
        <v>45695</v>
      </c>
      <c r="I6" s="45">
        <f ca="1">TODAY()+2</f>
        <v>45696</v>
      </c>
      <c r="J6" s="45">
        <f ca="1">TODAY()+3</f>
        <v>45697</v>
      </c>
      <c r="K6" s="45">
        <f ca="1">TODAY()+4</f>
        <v>45698</v>
      </c>
      <c r="L6" s="45">
        <f ca="1">TODAY()+5</f>
        <v>45699</v>
      </c>
      <c r="M6" s="45">
        <f ca="1">TODAY()+6</f>
        <v>45700</v>
      </c>
      <c r="N6" s="45">
        <f ca="1">TODAY()+7</f>
        <v>45701</v>
      </c>
      <c r="O6" s="45">
        <f ca="1">TODAY()+8</f>
        <v>45702</v>
      </c>
      <c r="P6" s="45">
        <f ca="1">TODAY()+9</f>
        <v>45703</v>
      </c>
      <c r="Q6" s="45">
        <f ca="1">TODAY()+10</f>
        <v>45704</v>
      </c>
      <c r="R6" s="45">
        <f ca="1">TODAY()+11</f>
        <v>45705</v>
      </c>
      <c r="S6" s="45">
        <f ca="1">TODAY()+12</f>
        <v>45706</v>
      </c>
      <c r="T6" s="45">
        <f ca="1">TODAY()+13</f>
        <v>45707</v>
      </c>
      <c r="U6" s="45">
        <f ca="1">TODAY()+14</f>
        <v>45708</v>
      </c>
      <c r="V6" s="45">
        <f ca="1">TODAY()+15</f>
        <v>45709</v>
      </c>
      <c r="W6" s="45">
        <f ca="1">TODAY()+16</f>
        <v>45710</v>
      </c>
      <c r="X6" s="45">
        <f ca="1">TODAY()+17</f>
        <v>45711</v>
      </c>
      <c r="Y6" s="45">
        <f ca="1">TODAY()+18</f>
        <v>45712</v>
      </c>
      <c r="Z6" s="45">
        <f ca="1">TODAY()+19</f>
        <v>45713</v>
      </c>
    </row>
    <row r="7" spans="1:26" x14ac:dyDescent="0.5">
      <c r="B7" s="46" t="str" cm="1">
        <f t="array" aca="1" ref="B7" ca="1">IFERROR(IF(INDIRECT("'Task Tracking Sheet'!B" &amp; ROW(A5)) = "", "", INDIRECT("'Task Tracking Sheet'!B" &amp; ROW(A5))), "")</f>
        <v>Equilibruim</v>
      </c>
      <c r="C7" s="45" cm="1">
        <f t="array" aca="1" ref="C7" ca="1">IFERROR(IF(INDIRECT("'Task Tracking Sheet'!E" &amp; ROW(E5)) = "", "", INDIRECT("'Task Tracking Sheet'!E" &amp; ROW(E5))), "")</f>
        <v>45614</v>
      </c>
      <c r="D7" s="45" cm="1">
        <f t="array" aca="1" ref="D7" ca="1">IFERROR(IF(INDIRECT("'Task Tracking Sheet'!F" &amp; ROW(F5)) = "", "", INDIRECT("'Task Tracking Sheet'!F" &amp; ROW(F5))), "")</f>
        <v>45646</v>
      </c>
      <c r="E7" s="46">
        <f ca="1">IF(OR(C7 = "", D7 = ""), "", D7 - C7)</f>
        <v>32</v>
      </c>
      <c r="G7" s="46"/>
      <c r="H7" s="46"/>
      <c r="I7" s="46"/>
      <c r="J7" s="46"/>
      <c r="K7" s="46"/>
      <c r="L7" s="46"/>
      <c r="M7" s="46"/>
      <c r="N7" s="46"/>
      <c r="O7" s="46"/>
      <c r="P7" s="46"/>
      <c r="Q7" s="46"/>
      <c r="R7" s="46"/>
      <c r="S7" s="46"/>
      <c r="T7" s="46"/>
      <c r="U7" s="46"/>
      <c r="V7" s="46"/>
      <c r="W7" s="46"/>
      <c r="X7" s="46"/>
      <c r="Y7" s="46"/>
      <c r="Z7" s="46"/>
    </row>
    <row r="8" spans="1:26" x14ac:dyDescent="0.5">
      <c r="B8" s="46" t="str" cm="1">
        <f t="array" aca="1" ref="B8" ca="1">IFERROR(IF(INDIRECT("'Task Tracking Sheet'!B" &amp; ROW(A6)) = "", "", INDIRECT("'Task Tracking Sheet'!B" &amp; ROW(A6))), "")</f>
        <v>Quiz 7</v>
      </c>
      <c r="C8" s="45" cm="1">
        <f t="array" aca="1" ref="C8" ca="1">IFERROR(IF(INDIRECT("'Task Tracking Sheet'!E" &amp; ROW(E6)) = "", "", INDIRECT("'Task Tracking Sheet'!E" &amp; ROW(E6))), "")</f>
        <v>45620</v>
      </c>
      <c r="D8" s="45" cm="1">
        <f t="array" aca="1" ref="D8" ca="1">IFERROR(IF(INDIRECT("'Task Tracking Sheet'!F" &amp; ROW(F6)) = "", "", INDIRECT("'Task Tracking Sheet'!F" &amp; ROW(F6))), "")</f>
        <v>45629</v>
      </c>
      <c r="E8" s="46">
        <f t="shared" ref="E8:E9" ca="1" si="0">IF(OR(C8 = "", D8 = ""), "", D8 - C8)</f>
        <v>9</v>
      </c>
      <c r="G8" s="46"/>
      <c r="H8" s="46"/>
      <c r="I8" s="46"/>
      <c r="J8" s="46"/>
      <c r="K8" s="46"/>
      <c r="L8" s="46"/>
      <c r="M8" s="46"/>
      <c r="N8" s="46"/>
      <c r="O8" s="46"/>
      <c r="P8" s="46"/>
      <c r="Q8" s="46"/>
      <c r="R8" s="46"/>
      <c r="S8" s="46"/>
      <c r="T8" s="46"/>
      <c r="U8" s="46"/>
      <c r="V8" s="46"/>
      <c r="W8" s="46"/>
      <c r="X8" s="46"/>
      <c r="Y8" s="46"/>
      <c r="Z8" s="46"/>
    </row>
    <row r="9" spans="1:26" x14ac:dyDescent="0.5">
      <c r="B9" s="46" t="str" cm="1">
        <f t="array" aca="1" ref="B9" ca="1">IFERROR(IF(INDIRECT("'Task Tracking Sheet'!B" &amp; ROW(A7)) = "", "", INDIRECT("'Task Tracking Sheet'!B" &amp; ROW(A7))), "")</f>
        <v>Individual</v>
      </c>
      <c r="C9" s="45" cm="1">
        <f t="array" aca="1" ref="C9" ca="1">IFERROR(IF(INDIRECT("'Task Tracking Sheet'!E" &amp; ROW(E7)) = "", "", INDIRECT("'Task Tracking Sheet'!E" &amp; ROW(E7))), "")</f>
        <v>45609</v>
      </c>
      <c r="D9" s="45" cm="1">
        <f t="array" aca="1" ref="D9" ca="1">IFERROR(IF(INDIRECT("'Task Tracking Sheet'!F" &amp; ROW(F7)) = "", "", INDIRECT("'Task Tracking Sheet'!F" &amp; ROW(F7))), "")</f>
        <v>45633</v>
      </c>
      <c r="E9" s="46">
        <f t="shared" ca="1" si="0"/>
        <v>24</v>
      </c>
      <c r="G9" s="46"/>
      <c r="H9" s="46"/>
      <c r="I9" s="46"/>
      <c r="J9" s="46"/>
      <c r="K9" s="46"/>
      <c r="L9" s="46"/>
      <c r="M9" s="46"/>
      <c r="N9" s="46"/>
      <c r="O9" s="46"/>
      <c r="P9" s="46"/>
      <c r="Q9" s="46"/>
      <c r="R9" s="46"/>
      <c r="S9" s="46"/>
      <c r="T9" s="46"/>
      <c r="U9" s="46"/>
      <c r="V9" s="46"/>
      <c r="W9" s="46"/>
      <c r="X9" s="46"/>
      <c r="Y9" s="46"/>
      <c r="Z9" s="46"/>
    </row>
    <row r="10" spans="1:26" x14ac:dyDescent="0.5">
      <c r="B10" s="46" t="str" cm="1">
        <f t="array" aca="1" ref="B10" ca="1">IFERROR(IF(INDIRECT("'Task Tracking Sheet'!B" &amp; ROW(A8)) = "", "", INDIRECT("'Task Tracking Sheet'!B" &amp; ROW(A8))), "")</f>
        <v>Quiz 8</v>
      </c>
      <c r="C10" s="45" cm="1">
        <f t="array" aca="1" ref="C10" ca="1">IFERROR(IF(INDIRECT("'Task Tracking Sheet'!E" &amp; ROW(E8)) = "", "", INDIRECT("'Task Tracking Sheet'!E" &amp; ROW(E8))), "")</f>
        <v>45623</v>
      </c>
      <c r="D10" s="45" cm="1">
        <f t="array" aca="1" ref="D10" ca="1">IFERROR(IF(INDIRECT("'Task Tracking Sheet'!F" &amp; ROW(F8)) = "", "", INDIRECT("'Task Tracking Sheet'!F" &amp; ROW(F8))), "")</f>
        <v>45631</v>
      </c>
      <c r="E10" s="46">
        <f ca="1">IF(OR(C10 = "", D10 = ""), "", D10 - C10)</f>
        <v>8</v>
      </c>
      <c r="G10" s="46"/>
      <c r="H10" s="46"/>
      <c r="I10" s="46"/>
      <c r="J10" s="46"/>
      <c r="K10" s="46"/>
      <c r="L10" s="46"/>
      <c r="M10" s="46"/>
      <c r="N10" s="46"/>
      <c r="O10" s="46"/>
      <c r="P10" s="46"/>
      <c r="Q10" s="46"/>
      <c r="R10" s="46"/>
      <c r="S10" s="46"/>
      <c r="T10" s="46"/>
      <c r="U10" s="46"/>
      <c r="V10" s="46"/>
      <c r="W10" s="46"/>
      <c r="X10" s="46"/>
      <c r="Y10" s="46"/>
      <c r="Z10" s="46"/>
    </row>
    <row r="11" spans="1:26" x14ac:dyDescent="0.5">
      <c r="B11" s="22" t="str" cm="1">
        <f t="array" aca="1" ref="B11" ca="1">IFERROR(IF(INDIRECT("'Task Tracking Sheet'!B" &amp; ROW(A9)) = "", "", INDIRECT("'Task Tracking Sheet'!B" &amp; ROW(A9))), "")</f>
        <v>Python Assignment</v>
      </c>
      <c r="C11" s="44" cm="1">
        <f t="array" aca="1" ref="C11" ca="1">IFERROR(IF(INDIRECT("'Task Tracking Sheet'!E" &amp; ROW(E9)) = "", "", INDIRECT("'Task Tracking Sheet'!E" &amp; ROW(E9))), "")</f>
        <v>45537</v>
      </c>
      <c r="D11" s="44" cm="1">
        <f t="array" aca="1" ref="D11" ca="1">IFERROR(IF(INDIRECT("'Task Tracking Sheet'!F" &amp; ROW(F9)) = "", "", INDIRECT("'Task Tracking Sheet'!F" &amp; ROW(F9))), "")</f>
        <v>45545</v>
      </c>
      <c r="E11" s="22">
        <f t="shared" ref="E11:E74" ca="1" si="1">IF(OR(C11 = "", D11 = ""), "", D11 - C11)</f>
        <v>8</v>
      </c>
    </row>
    <row r="12" spans="1:26" x14ac:dyDescent="0.5">
      <c r="B12" s="22" t="str" cm="1">
        <f t="array" aca="1" ref="B12" ca="1">IFERROR(IF(INDIRECT("'Task Tracking Sheet'!B" &amp; ROW(A10)) = "", "", INDIRECT("'Task Tracking Sheet'!B" &amp; ROW(A10))), "")</f>
        <v/>
      </c>
      <c r="C12" s="44" t="str" cm="1">
        <f t="array" aca="1" ref="C12" ca="1">IFERROR(IF(INDIRECT("'Task Tracking Sheet'!E" &amp; ROW(E10)) = "", "", INDIRECT("'Task Tracking Sheet'!E" &amp; ROW(E10))), "")</f>
        <v/>
      </c>
      <c r="D12" s="44" t="str" cm="1">
        <f t="array" aca="1" ref="D12" ca="1">IFERROR(IF(INDIRECT("'Task Tracking Sheet'!F" &amp; ROW(F10)) = "", "", INDIRECT("'Task Tracking Sheet'!F" &amp; ROW(F10))), "")</f>
        <v/>
      </c>
      <c r="E12" s="22" t="str">
        <f t="shared" ca="1" si="1"/>
        <v/>
      </c>
    </row>
    <row r="13" spans="1:26" x14ac:dyDescent="0.5">
      <c r="B13" s="22" t="str" cm="1">
        <f t="array" aca="1" ref="B13" ca="1">IFERROR(IF(INDIRECT("'Task Tracking Sheet'!B" &amp; ROW(A11)) = "", "", INDIRECT("'Task Tracking Sheet'!B" &amp; ROW(A11))), "")</f>
        <v/>
      </c>
      <c r="C13" s="44" t="str" cm="1">
        <f t="array" aca="1" ref="C13" ca="1">IFERROR(IF(INDIRECT("'Task Tracking Sheet'!E" &amp; ROW(E11)) = "", "", INDIRECT("'Task Tracking Sheet'!E" &amp; ROW(E11))), "")</f>
        <v/>
      </c>
      <c r="D13" s="44" t="str" cm="1">
        <f t="array" aca="1" ref="D13" ca="1">IFERROR(IF(INDIRECT("'Task Tracking Sheet'!F" &amp; ROW(F11)) = "", "", INDIRECT("'Task Tracking Sheet'!F" &amp; ROW(F11))), "")</f>
        <v/>
      </c>
      <c r="E13" s="22" t="str">
        <f t="shared" ca="1" si="1"/>
        <v/>
      </c>
    </row>
    <row r="14" spans="1:26" x14ac:dyDescent="0.5">
      <c r="B14" s="22" t="str" cm="1">
        <f t="array" aca="1" ref="B14" ca="1">IFERROR(IF(INDIRECT("'Task Tracking Sheet'!B" &amp; ROW(A12)) = "", "", INDIRECT("'Task Tracking Sheet'!B" &amp; ROW(A12))), "")</f>
        <v/>
      </c>
      <c r="C14" s="44" t="str" cm="1">
        <f t="array" aca="1" ref="C14" ca="1">IFERROR(IF(INDIRECT("'Task Tracking Sheet'!E" &amp; ROW(E12)) = "", "", INDIRECT("'Task Tracking Sheet'!E" &amp; ROW(E12))), "")</f>
        <v/>
      </c>
      <c r="D14" s="44" t="str" cm="1">
        <f t="array" aca="1" ref="D14" ca="1">IFERROR(IF(INDIRECT("'Task Tracking Sheet'!F" &amp; ROW(F12)) = "", "", INDIRECT("'Task Tracking Sheet'!F" &amp; ROW(F12))), "")</f>
        <v/>
      </c>
      <c r="E14" s="22" t="str">
        <f t="shared" ca="1" si="1"/>
        <v/>
      </c>
    </row>
    <row r="15" spans="1:26" x14ac:dyDescent="0.5">
      <c r="B15" s="22" t="str" cm="1">
        <f t="array" aca="1" ref="B15" ca="1">IFERROR(IF(INDIRECT("'Task Tracking Sheet'!B" &amp; ROW(A13)) = "", "", INDIRECT("'Task Tracking Sheet'!B" &amp; ROW(A13))), "")</f>
        <v/>
      </c>
      <c r="C15" s="44" t="str" cm="1">
        <f t="array" aca="1" ref="C15" ca="1">IFERROR(IF(INDIRECT("'Task Tracking Sheet'!E" &amp; ROW(E13)) = "", "", INDIRECT("'Task Tracking Sheet'!E" &amp; ROW(E13))), "")</f>
        <v/>
      </c>
      <c r="D15" s="44" t="str" cm="1">
        <f t="array" aca="1" ref="D15" ca="1">IFERROR(IF(INDIRECT("'Task Tracking Sheet'!F" &amp; ROW(F13)) = "", "", INDIRECT("'Task Tracking Sheet'!F" &amp; ROW(F13))), "")</f>
        <v/>
      </c>
      <c r="E15" s="22" t="str">
        <f t="shared" ca="1" si="1"/>
        <v/>
      </c>
    </row>
    <row r="16" spans="1:26" x14ac:dyDescent="0.5">
      <c r="B16" s="22" t="str" cm="1">
        <f t="array" aca="1" ref="B16" ca="1">IFERROR(IF(INDIRECT("'Task Tracking Sheet'!B" &amp; ROW(A14)) = "", "", INDIRECT("'Task Tracking Sheet'!B" &amp; ROW(A14))), "")</f>
        <v/>
      </c>
      <c r="C16" s="44" t="str" cm="1">
        <f t="array" aca="1" ref="C16" ca="1">IFERROR(IF(INDIRECT("'Task Tracking Sheet'!E" &amp; ROW(E14)) = "", "", INDIRECT("'Task Tracking Sheet'!E" &amp; ROW(E14))), "")</f>
        <v/>
      </c>
      <c r="D16" s="44" t="str" cm="1">
        <f t="array" aca="1" ref="D16" ca="1">IFERROR(IF(INDIRECT("'Task Tracking Sheet'!F" &amp; ROW(F14)) = "", "", INDIRECT("'Task Tracking Sheet'!F" &amp; ROW(F14))), "")</f>
        <v/>
      </c>
      <c r="E16" s="22" t="str">
        <f t="shared" ca="1" si="1"/>
        <v/>
      </c>
    </row>
    <row r="17" spans="2:5" x14ac:dyDescent="0.5">
      <c r="B17" s="22" t="str" cm="1">
        <f t="array" aca="1" ref="B17" ca="1">IFERROR(IF(INDIRECT("'Task Tracking Sheet'!B" &amp; ROW(A15)) = "", "", INDIRECT("'Task Tracking Sheet'!B" &amp; ROW(A15))), "")</f>
        <v/>
      </c>
      <c r="C17" s="44" t="str" cm="1">
        <f t="array" aca="1" ref="C17" ca="1">IFERROR(IF(INDIRECT("'Task Tracking Sheet'!E" &amp; ROW(E15)) = "", "", INDIRECT("'Task Tracking Sheet'!E" &amp; ROW(E15))), "")</f>
        <v/>
      </c>
      <c r="D17" s="44" t="str" cm="1">
        <f t="array" aca="1" ref="D17" ca="1">IFERROR(IF(INDIRECT("'Task Tracking Sheet'!F" &amp; ROW(F15)) = "", "", INDIRECT("'Task Tracking Sheet'!F" &amp; ROW(F15))), "")</f>
        <v/>
      </c>
      <c r="E17" s="22" t="str">
        <f t="shared" ca="1" si="1"/>
        <v/>
      </c>
    </row>
    <row r="18" spans="2:5" x14ac:dyDescent="0.5">
      <c r="B18" s="22" t="str" cm="1">
        <f t="array" aca="1" ref="B18" ca="1">IFERROR(IF(INDIRECT("'Task Tracking Sheet'!B" &amp; ROW(A16)) = "", "", INDIRECT("'Task Tracking Sheet'!B" &amp; ROW(A16))), "")</f>
        <v/>
      </c>
      <c r="C18" s="44" t="str" cm="1">
        <f t="array" aca="1" ref="C18" ca="1">IFERROR(IF(INDIRECT("'Task Tracking Sheet'!E" &amp; ROW(E16)) = "", "", INDIRECT("'Task Tracking Sheet'!E" &amp; ROW(E16))), "")</f>
        <v/>
      </c>
      <c r="D18" s="44" t="str" cm="1">
        <f t="array" aca="1" ref="D18" ca="1">IFERROR(IF(INDIRECT("'Task Tracking Sheet'!F" &amp; ROW(F16)) = "", "", INDIRECT("'Task Tracking Sheet'!F" &amp; ROW(F16))), "")</f>
        <v/>
      </c>
      <c r="E18" s="22" t="str">
        <f t="shared" ca="1" si="1"/>
        <v/>
      </c>
    </row>
    <row r="19" spans="2:5" x14ac:dyDescent="0.5">
      <c r="B19" s="22" t="str" cm="1">
        <f t="array" aca="1" ref="B19" ca="1">IFERROR(IF(INDIRECT("'Task Tracking Sheet'!B" &amp; ROW(A17)) = "", "", INDIRECT("'Task Tracking Sheet'!B" &amp; ROW(A17))), "")</f>
        <v/>
      </c>
      <c r="C19" s="44" t="str" cm="1">
        <f t="array" aca="1" ref="C19" ca="1">IFERROR(IF(INDIRECT("'Task Tracking Sheet'!E" &amp; ROW(E17)) = "", "", INDIRECT("'Task Tracking Sheet'!E" &amp; ROW(E17))), "")</f>
        <v/>
      </c>
      <c r="D19" s="44" t="str" cm="1">
        <f t="array" aca="1" ref="D19" ca="1">IFERROR(IF(INDIRECT("'Task Tracking Sheet'!F" &amp; ROW(F17)) = "", "", INDIRECT("'Task Tracking Sheet'!F" &amp; ROW(F17))), "")</f>
        <v/>
      </c>
      <c r="E19" s="22" t="str">
        <f t="shared" ca="1" si="1"/>
        <v/>
      </c>
    </row>
    <row r="20" spans="2:5" x14ac:dyDescent="0.5">
      <c r="B20" s="22" t="str" cm="1">
        <f t="array" aca="1" ref="B20" ca="1">IFERROR(IF(INDIRECT("'Task Tracking Sheet'!B" &amp; ROW(A18)) = "", "", INDIRECT("'Task Tracking Sheet'!B" &amp; ROW(A18))), "")</f>
        <v/>
      </c>
      <c r="C20" s="44" t="str" cm="1">
        <f t="array" aca="1" ref="C20" ca="1">IFERROR(IF(INDIRECT("'Task Tracking Sheet'!E" &amp; ROW(E18)) = "", "", INDIRECT("'Task Tracking Sheet'!E" &amp; ROW(E18))), "")</f>
        <v/>
      </c>
      <c r="D20" s="44" t="str" cm="1">
        <f t="array" aca="1" ref="D20" ca="1">IFERROR(IF(INDIRECT("'Task Tracking Sheet'!F" &amp; ROW(F18)) = "", "", INDIRECT("'Task Tracking Sheet'!F" &amp; ROW(F18))), "")</f>
        <v/>
      </c>
      <c r="E20" s="22" t="str">
        <f t="shared" ca="1" si="1"/>
        <v/>
      </c>
    </row>
    <row r="21" spans="2:5" x14ac:dyDescent="0.5">
      <c r="B21" s="22" t="str" cm="1">
        <f t="array" aca="1" ref="B21" ca="1">IFERROR(IF(INDIRECT("'Task Tracking Sheet'!B" &amp; ROW(A19)) = "", "", INDIRECT("'Task Tracking Sheet'!B" &amp; ROW(A19))), "")</f>
        <v/>
      </c>
      <c r="C21" s="44" t="str" cm="1">
        <f t="array" aca="1" ref="C21" ca="1">IFERROR(IF(INDIRECT("'Task Tracking Sheet'!E" &amp; ROW(E19)) = "", "", INDIRECT("'Task Tracking Sheet'!E" &amp; ROW(E19))), "")</f>
        <v/>
      </c>
      <c r="D21" s="44" t="str" cm="1">
        <f t="array" aca="1" ref="D21" ca="1">IFERROR(IF(INDIRECT("'Task Tracking Sheet'!F" &amp; ROW(F19)) = "", "", INDIRECT("'Task Tracking Sheet'!F" &amp; ROW(F19))), "")</f>
        <v/>
      </c>
      <c r="E21" s="22" t="str">
        <f t="shared" ca="1" si="1"/>
        <v/>
      </c>
    </row>
    <row r="22" spans="2:5" x14ac:dyDescent="0.5">
      <c r="B22" s="22" t="str" cm="1">
        <f t="array" aca="1" ref="B22" ca="1">IFERROR(IF(INDIRECT("'Task Tracking Sheet'!B" &amp; ROW(A20)) = "", "", INDIRECT("'Task Tracking Sheet'!B" &amp; ROW(A20))), "")</f>
        <v/>
      </c>
      <c r="C22" s="44" t="str" cm="1">
        <f t="array" aca="1" ref="C22" ca="1">IFERROR(IF(INDIRECT("'Task Tracking Sheet'!E" &amp; ROW(E20)) = "", "", INDIRECT("'Task Tracking Sheet'!E" &amp; ROW(E20))), "")</f>
        <v/>
      </c>
      <c r="D22" s="44" t="str" cm="1">
        <f t="array" aca="1" ref="D22" ca="1">IFERROR(IF(INDIRECT("'Task Tracking Sheet'!F" &amp; ROW(F20)) = "", "", INDIRECT("'Task Tracking Sheet'!F" &amp; ROW(F20))), "")</f>
        <v/>
      </c>
      <c r="E22" s="22" t="str">
        <f t="shared" ca="1" si="1"/>
        <v/>
      </c>
    </row>
    <row r="23" spans="2:5" x14ac:dyDescent="0.5">
      <c r="B23" s="22" t="str" cm="1">
        <f t="array" aca="1" ref="B23" ca="1">IFERROR(IF(INDIRECT("'Task Tracking Sheet'!B" &amp; ROW(A21)) = "", "", INDIRECT("'Task Tracking Sheet'!B" &amp; ROW(A21))), "")</f>
        <v/>
      </c>
      <c r="C23" s="44" t="str" cm="1">
        <f t="array" aca="1" ref="C23" ca="1">IFERROR(IF(INDIRECT("'Task Tracking Sheet'!E" &amp; ROW(E21)) = "", "", INDIRECT("'Task Tracking Sheet'!E" &amp; ROW(E21))), "")</f>
        <v/>
      </c>
      <c r="D23" s="44" t="str" cm="1">
        <f t="array" aca="1" ref="D23" ca="1">IFERROR(IF(INDIRECT("'Task Tracking Sheet'!F" &amp; ROW(F21)) = "", "", INDIRECT("'Task Tracking Sheet'!F" &amp; ROW(F21))), "")</f>
        <v/>
      </c>
      <c r="E23" s="22" t="str">
        <f t="shared" ca="1" si="1"/>
        <v/>
      </c>
    </row>
    <row r="24" spans="2:5" x14ac:dyDescent="0.5">
      <c r="B24" s="22" t="str" cm="1">
        <f t="array" aca="1" ref="B24" ca="1">IFERROR(IF(INDIRECT("'Task Tracking Sheet'!B" &amp; ROW(A22)) = "", "", INDIRECT("'Task Tracking Sheet'!B" &amp; ROW(A22))), "")</f>
        <v/>
      </c>
      <c r="C24" s="44" t="str" cm="1">
        <f t="array" aca="1" ref="C24" ca="1">IFERROR(IF(INDIRECT("'Task Tracking Sheet'!E" &amp; ROW(E22)) = "", "", INDIRECT("'Task Tracking Sheet'!E" &amp; ROW(E22))), "")</f>
        <v/>
      </c>
      <c r="D24" s="44" t="str" cm="1">
        <f t="array" aca="1" ref="D24" ca="1">IFERROR(IF(INDIRECT("'Task Tracking Sheet'!F" &amp; ROW(F22)) = "", "", INDIRECT("'Task Tracking Sheet'!F" &amp; ROW(F22))), "")</f>
        <v/>
      </c>
      <c r="E24" s="22" t="str">
        <f t="shared" ca="1" si="1"/>
        <v/>
      </c>
    </row>
    <row r="25" spans="2:5" x14ac:dyDescent="0.5">
      <c r="B25" s="22" t="str" cm="1">
        <f t="array" aca="1" ref="B25" ca="1">IFERROR(IF(INDIRECT("'Task Tracking Sheet'!B" &amp; ROW(A23)) = "", "", INDIRECT("'Task Tracking Sheet'!B" &amp; ROW(A23))), "")</f>
        <v/>
      </c>
      <c r="C25" s="44" t="str" cm="1">
        <f t="array" aca="1" ref="C25" ca="1">IFERROR(IF(INDIRECT("'Task Tracking Sheet'!E" &amp; ROW(E23)) = "", "", INDIRECT("'Task Tracking Sheet'!E" &amp; ROW(E23))), "")</f>
        <v/>
      </c>
      <c r="D25" s="44" t="str" cm="1">
        <f t="array" aca="1" ref="D25" ca="1">IFERROR(IF(INDIRECT("'Task Tracking Sheet'!F" &amp; ROW(F23)) = "", "", INDIRECT("'Task Tracking Sheet'!F" &amp; ROW(F23))), "")</f>
        <v/>
      </c>
      <c r="E25" s="22" t="str">
        <f t="shared" ca="1" si="1"/>
        <v/>
      </c>
    </row>
    <row r="26" spans="2:5" x14ac:dyDescent="0.5">
      <c r="B26" s="22" t="str" cm="1">
        <f t="array" aca="1" ref="B26" ca="1">IFERROR(IF(INDIRECT("'Task Tracking Sheet'!B" &amp; ROW(A24)) = "", "", INDIRECT("'Task Tracking Sheet'!B" &amp; ROW(A24))), "")</f>
        <v/>
      </c>
      <c r="C26" s="44" t="str" cm="1">
        <f t="array" aca="1" ref="C26" ca="1">IFERROR(IF(INDIRECT("'Task Tracking Sheet'!E" &amp; ROW(E24)) = "", "", INDIRECT("'Task Tracking Sheet'!E" &amp; ROW(E24))), "")</f>
        <v/>
      </c>
      <c r="D26" s="44" t="str" cm="1">
        <f t="array" aca="1" ref="D26" ca="1">IFERROR(IF(INDIRECT("'Task Tracking Sheet'!F" &amp; ROW(F24)) = "", "", INDIRECT("'Task Tracking Sheet'!F" &amp; ROW(F24))), "")</f>
        <v/>
      </c>
      <c r="E26" s="22" t="str">
        <f t="shared" ca="1" si="1"/>
        <v/>
      </c>
    </row>
    <row r="27" spans="2:5" x14ac:dyDescent="0.5">
      <c r="B27" s="22" t="str" cm="1">
        <f t="array" aca="1" ref="B27" ca="1">IFERROR(IF(INDIRECT("'Task Tracking Sheet'!B" &amp; ROW(A25)) = "", "", INDIRECT("'Task Tracking Sheet'!B" &amp; ROW(A25))), "")</f>
        <v/>
      </c>
      <c r="C27" s="44" t="str" cm="1">
        <f t="array" aca="1" ref="C27" ca="1">IFERROR(IF(INDIRECT("'Task Tracking Sheet'!E" &amp; ROW(E25)) = "", "", INDIRECT("'Task Tracking Sheet'!E" &amp; ROW(E25))), "")</f>
        <v/>
      </c>
      <c r="D27" s="44" t="str" cm="1">
        <f t="array" aca="1" ref="D27" ca="1">IFERROR(IF(INDIRECT("'Task Tracking Sheet'!F" &amp; ROW(F25)) = "", "", INDIRECT("'Task Tracking Sheet'!F" &amp; ROW(F25))), "")</f>
        <v/>
      </c>
      <c r="E27" s="22" t="str">
        <f t="shared" ca="1" si="1"/>
        <v/>
      </c>
    </row>
    <row r="28" spans="2:5" x14ac:dyDescent="0.5">
      <c r="B28" s="22" t="str" cm="1">
        <f t="array" aca="1" ref="B28" ca="1">IFERROR(IF(INDIRECT("'Task Tracking Sheet'!B" &amp; ROW(A26)) = "", "", INDIRECT("'Task Tracking Sheet'!B" &amp; ROW(A26))), "")</f>
        <v/>
      </c>
      <c r="C28" s="44" t="str" cm="1">
        <f t="array" aca="1" ref="C28" ca="1">IFERROR(IF(INDIRECT("'Task Tracking Sheet'!E" &amp; ROW(E26)) = "", "", INDIRECT("'Task Tracking Sheet'!E" &amp; ROW(E26))), "")</f>
        <v/>
      </c>
      <c r="D28" s="44" t="str" cm="1">
        <f t="array" aca="1" ref="D28" ca="1">IFERROR(IF(INDIRECT("'Task Tracking Sheet'!F" &amp; ROW(F26)) = "", "", INDIRECT("'Task Tracking Sheet'!F" &amp; ROW(F26))), "")</f>
        <v/>
      </c>
      <c r="E28" s="22" t="str">
        <f t="shared" ca="1" si="1"/>
        <v/>
      </c>
    </row>
    <row r="29" spans="2:5" x14ac:dyDescent="0.5">
      <c r="B29" s="22" t="str" cm="1">
        <f t="array" aca="1" ref="B29" ca="1">IFERROR(IF(INDIRECT("'Task Tracking Sheet'!B" &amp; ROW(A27)) = "", "", INDIRECT("'Task Tracking Sheet'!B" &amp; ROW(A27))), "")</f>
        <v/>
      </c>
      <c r="C29" s="44" t="str" cm="1">
        <f t="array" aca="1" ref="C29" ca="1">IFERROR(IF(INDIRECT("'Task Tracking Sheet'!E" &amp; ROW(E27)) = "", "", INDIRECT("'Task Tracking Sheet'!E" &amp; ROW(E27))), "")</f>
        <v/>
      </c>
      <c r="D29" s="44" t="str" cm="1">
        <f t="array" aca="1" ref="D29" ca="1">IFERROR(IF(INDIRECT("'Task Tracking Sheet'!F" &amp; ROW(F27)) = "", "", INDIRECT("'Task Tracking Sheet'!F" &amp; ROW(F27))), "")</f>
        <v/>
      </c>
      <c r="E29" s="22" t="str">
        <f t="shared" ca="1" si="1"/>
        <v/>
      </c>
    </row>
    <row r="30" spans="2:5" x14ac:dyDescent="0.5">
      <c r="B30" s="22" t="str" cm="1">
        <f t="array" aca="1" ref="B30" ca="1">IFERROR(IF(INDIRECT("'Task Tracking Sheet'!B" &amp; ROW(A28)) = "", "", INDIRECT("'Task Tracking Sheet'!B" &amp; ROW(A28))), "")</f>
        <v/>
      </c>
      <c r="C30" s="44" t="str" cm="1">
        <f t="array" aca="1" ref="C30" ca="1">IFERROR(IF(INDIRECT("'Task Tracking Sheet'!E" &amp; ROW(E28)) = "", "", INDIRECT("'Task Tracking Sheet'!E" &amp; ROW(E28))), "")</f>
        <v/>
      </c>
      <c r="D30" s="44" t="str" cm="1">
        <f t="array" aca="1" ref="D30" ca="1">IFERROR(IF(INDIRECT("'Task Tracking Sheet'!F" &amp; ROW(F28)) = "", "", INDIRECT("'Task Tracking Sheet'!F" &amp; ROW(F28))), "")</f>
        <v/>
      </c>
      <c r="E30" s="22" t="str">
        <f t="shared" ca="1" si="1"/>
        <v/>
      </c>
    </row>
    <row r="31" spans="2:5" x14ac:dyDescent="0.5">
      <c r="B31" s="22" t="str" cm="1">
        <f t="array" aca="1" ref="B31" ca="1">IFERROR(IF(INDIRECT("'Task Tracking Sheet'!B" &amp; ROW(A29)) = "", "", INDIRECT("'Task Tracking Sheet'!B" &amp; ROW(A29))), "")</f>
        <v/>
      </c>
      <c r="C31" s="44" t="str" cm="1">
        <f t="array" aca="1" ref="C31" ca="1">IFERROR(IF(INDIRECT("'Task Tracking Sheet'!E" &amp; ROW(E29)) = "", "", INDIRECT("'Task Tracking Sheet'!E" &amp; ROW(E29))), "")</f>
        <v/>
      </c>
      <c r="D31" s="44" t="str" cm="1">
        <f t="array" aca="1" ref="D31" ca="1">IFERROR(IF(INDIRECT("'Task Tracking Sheet'!F" &amp; ROW(F29)) = "", "", INDIRECT("'Task Tracking Sheet'!F" &amp; ROW(F29))), "")</f>
        <v/>
      </c>
      <c r="E31" s="22" t="str">
        <f t="shared" ca="1" si="1"/>
        <v/>
      </c>
    </row>
    <row r="32" spans="2:5" x14ac:dyDescent="0.5">
      <c r="B32" s="22" t="str" cm="1">
        <f t="array" aca="1" ref="B32" ca="1">IFERROR(IF(INDIRECT("'Task Tracking Sheet'!B" &amp; ROW(A30)) = "", "", INDIRECT("'Task Tracking Sheet'!B" &amp; ROW(A30))), "")</f>
        <v/>
      </c>
      <c r="C32" s="44" t="str" cm="1">
        <f t="array" aca="1" ref="C32" ca="1">IFERROR(IF(INDIRECT("'Task Tracking Sheet'!E" &amp; ROW(E30)) = "", "", INDIRECT("'Task Tracking Sheet'!E" &amp; ROW(E30))), "")</f>
        <v/>
      </c>
      <c r="D32" s="44" t="str" cm="1">
        <f t="array" aca="1" ref="D32" ca="1">IFERROR(IF(INDIRECT("'Task Tracking Sheet'!F" &amp; ROW(F30)) = "", "", INDIRECT("'Task Tracking Sheet'!F" &amp; ROW(F30))), "")</f>
        <v/>
      </c>
      <c r="E32" s="22" t="str">
        <f t="shared" ca="1" si="1"/>
        <v/>
      </c>
    </row>
    <row r="33" spans="2:5" x14ac:dyDescent="0.5">
      <c r="B33" s="22" t="str" cm="1">
        <f t="array" aca="1" ref="B33" ca="1">IFERROR(IF(INDIRECT("'Task Tracking Sheet'!B" &amp; ROW(A31)) = "", "", INDIRECT("'Task Tracking Sheet'!B" &amp; ROW(A31))), "")</f>
        <v/>
      </c>
      <c r="C33" s="44" t="str" cm="1">
        <f t="array" aca="1" ref="C33" ca="1">IFERROR(IF(INDIRECT("'Task Tracking Sheet'!E" &amp; ROW(E31)) = "", "", INDIRECT("'Task Tracking Sheet'!E" &amp; ROW(E31))), "")</f>
        <v/>
      </c>
      <c r="D33" s="44" t="str" cm="1">
        <f t="array" aca="1" ref="D33" ca="1">IFERROR(IF(INDIRECT("'Task Tracking Sheet'!F" &amp; ROW(F31)) = "", "", INDIRECT("'Task Tracking Sheet'!F" &amp; ROW(F31))), "")</f>
        <v/>
      </c>
      <c r="E33" s="22" t="str">
        <f t="shared" ca="1" si="1"/>
        <v/>
      </c>
    </row>
    <row r="34" spans="2:5" x14ac:dyDescent="0.5">
      <c r="B34" s="22" t="str" cm="1">
        <f t="array" aca="1" ref="B34" ca="1">IFERROR(IF(INDIRECT("'Task Tracking Sheet'!B" &amp; ROW(A32)) = "", "", INDIRECT("'Task Tracking Sheet'!B" &amp; ROW(A32))), "")</f>
        <v/>
      </c>
      <c r="C34" s="44" t="str" cm="1">
        <f t="array" aca="1" ref="C34" ca="1">IFERROR(IF(INDIRECT("'Task Tracking Sheet'!E" &amp; ROW(E32)) = "", "", INDIRECT("'Task Tracking Sheet'!E" &amp; ROW(E32))), "")</f>
        <v/>
      </c>
      <c r="D34" s="44" t="str" cm="1">
        <f t="array" aca="1" ref="D34" ca="1">IFERROR(IF(INDIRECT("'Task Tracking Sheet'!F" &amp; ROW(F32)) = "", "", INDIRECT("'Task Tracking Sheet'!F" &amp; ROW(F32))), "")</f>
        <v/>
      </c>
      <c r="E34" s="22" t="str">
        <f t="shared" ca="1" si="1"/>
        <v/>
      </c>
    </row>
    <row r="35" spans="2:5" x14ac:dyDescent="0.5">
      <c r="B35" s="22" t="str" cm="1">
        <f t="array" aca="1" ref="B35" ca="1">IFERROR(IF(INDIRECT("'Task Tracking Sheet'!B" &amp; ROW(A33)) = "", "", INDIRECT("'Task Tracking Sheet'!B" &amp; ROW(A33))), "")</f>
        <v/>
      </c>
      <c r="C35" s="44" t="str" cm="1">
        <f t="array" aca="1" ref="C35" ca="1">IFERROR(IF(INDIRECT("'Task Tracking Sheet'!E" &amp; ROW(E33)) = "", "", INDIRECT("'Task Tracking Sheet'!E" &amp; ROW(E33))), "")</f>
        <v/>
      </c>
      <c r="D35" s="44" t="str" cm="1">
        <f t="array" aca="1" ref="D35" ca="1">IFERROR(IF(INDIRECT("'Task Tracking Sheet'!F" &amp; ROW(F33)) = "", "", INDIRECT("'Task Tracking Sheet'!F" &amp; ROW(F33))), "")</f>
        <v/>
      </c>
      <c r="E35" s="22" t="str">
        <f t="shared" ca="1" si="1"/>
        <v/>
      </c>
    </row>
    <row r="36" spans="2:5" x14ac:dyDescent="0.5">
      <c r="B36" s="22" t="str" cm="1">
        <f t="array" aca="1" ref="B36" ca="1">IFERROR(IF(INDIRECT("'Task Tracking Sheet'!B" &amp; ROW(A34)) = "", "", INDIRECT("'Task Tracking Sheet'!B" &amp; ROW(A34))), "")</f>
        <v/>
      </c>
      <c r="C36" s="44" t="str" cm="1">
        <f t="array" aca="1" ref="C36" ca="1">IFERROR(IF(INDIRECT("'Task Tracking Sheet'!E" &amp; ROW(E34)) = "", "", INDIRECT("'Task Tracking Sheet'!E" &amp; ROW(E34))), "")</f>
        <v/>
      </c>
      <c r="D36" s="44" t="str" cm="1">
        <f t="array" aca="1" ref="D36" ca="1">IFERROR(IF(INDIRECT("'Task Tracking Sheet'!F" &amp; ROW(F34)) = "", "", INDIRECT("'Task Tracking Sheet'!F" &amp; ROW(F34))), "")</f>
        <v/>
      </c>
      <c r="E36" s="22" t="str">
        <f t="shared" ca="1" si="1"/>
        <v/>
      </c>
    </row>
    <row r="37" spans="2:5" x14ac:dyDescent="0.5">
      <c r="B37" s="22" t="str" cm="1">
        <f t="array" aca="1" ref="B37" ca="1">IFERROR(IF(INDIRECT("'Task Tracking Sheet'!B" &amp; ROW(A35)) = "", "", INDIRECT("'Task Tracking Sheet'!B" &amp; ROW(A35))), "")</f>
        <v/>
      </c>
      <c r="C37" s="44" t="str" cm="1">
        <f t="array" aca="1" ref="C37" ca="1">IFERROR(IF(INDIRECT("'Task Tracking Sheet'!E" &amp; ROW(E35)) = "", "", INDIRECT("'Task Tracking Sheet'!E" &amp; ROW(E35))), "")</f>
        <v/>
      </c>
      <c r="D37" s="44" t="str" cm="1">
        <f t="array" aca="1" ref="D37" ca="1">IFERROR(IF(INDIRECT("'Task Tracking Sheet'!F" &amp; ROW(F35)) = "", "", INDIRECT("'Task Tracking Sheet'!F" &amp; ROW(F35))), "")</f>
        <v/>
      </c>
      <c r="E37" s="22" t="str">
        <f t="shared" ca="1" si="1"/>
        <v/>
      </c>
    </row>
    <row r="38" spans="2:5" x14ac:dyDescent="0.5">
      <c r="B38" s="22" t="str" cm="1">
        <f t="array" aca="1" ref="B38" ca="1">IFERROR(IF(INDIRECT("'Task Tracking Sheet'!B" &amp; ROW(A36)) = "", "", INDIRECT("'Task Tracking Sheet'!B" &amp; ROW(A36))), "")</f>
        <v/>
      </c>
      <c r="C38" s="44" t="str" cm="1">
        <f t="array" aca="1" ref="C38" ca="1">IFERROR(IF(INDIRECT("'Task Tracking Sheet'!E" &amp; ROW(E36)) = "", "", INDIRECT("'Task Tracking Sheet'!E" &amp; ROW(E36))), "")</f>
        <v/>
      </c>
      <c r="D38" s="44" t="str" cm="1">
        <f t="array" aca="1" ref="D38" ca="1">IFERROR(IF(INDIRECT("'Task Tracking Sheet'!F" &amp; ROW(F36)) = "", "", INDIRECT("'Task Tracking Sheet'!F" &amp; ROW(F36))), "")</f>
        <v/>
      </c>
      <c r="E38" s="22" t="str">
        <f t="shared" ca="1" si="1"/>
        <v/>
      </c>
    </row>
    <row r="39" spans="2:5" x14ac:dyDescent="0.5">
      <c r="B39" s="22" t="str" cm="1">
        <f t="array" aca="1" ref="B39" ca="1">IFERROR(IF(INDIRECT("'Task Tracking Sheet'!B" &amp; ROW(A37)) = "", "", INDIRECT("'Task Tracking Sheet'!B" &amp; ROW(A37))), "")</f>
        <v/>
      </c>
      <c r="C39" s="44" t="str" cm="1">
        <f t="array" aca="1" ref="C39" ca="1">IFERROR(IF(INDIRECT("'Task Tracking Sheet'!E" &amp; ROW(E37)) = "", "", INDIRECT("'Task Tracking Sheet'!E" &amp; ROW(E37))), "")</f>
        <v/>
      </c>
      <c r="D39" s="44" t="str" cm="1">
        <f t="array" aca="1" ref="D39" ca="1">IFERROR(IF(INDIRECT("'Task Tracking Sheet'!F" &amp; ROW(F37)) = "", "", INDIRECT("'Task Tracking Sheet'!F" &amp; ROW(F37))), "")</f>
        <v/>
      </c>
      <c r="E39" s="22" t="str">
        <f t="shared" ca="1" si="1"/>
        <v/>
      </c>
    </row>
    <row r="40" spans="2:5" x14ac:dyDescent="0.5">
      <c r="B40" s="22" t="str" cm="1">
        <f t="array" aca="1" ref="B40" ca="1">IFERROR(IF(INDIRECT("'Task Tracking Sheet'!B" &amp; ROW(A38)) = "", "", INDIRECT("'Task Tracking Sheet'!B" &amp; ROW(A38))), "")</f>
        <v/>
      </c>
      <c r="C40" s="44" t="str" cm="1">
        <f t="array" aca="1" ref="C40" ca="1">IFERROR(IF(INDIRECT("'Task Tracking Sheet'!E" &amp; ROW(E38)) = "", "", INDIRECT("'Task Tracking Sheet'!E" &amp; ROW(E38))), "")</f>
        <v/>
      </c>
      <c r="D40" s="44" t="str" cm="1">
        <f t="array" aca="1" ref="D40" ca="1">IFERROR(IF(INDIRECT("'Task Tracking Sheet'!F" &amp; ROW(F38)) = "", "", INDIRECT("'Task Tracking Sheet'!F" &amp; ROW(F38))), "")</f>
        <v/>
      </c>
      <c r="E40" s="22" t="str">
        <f t="shared" ca="1" si="1"/>
        <v/>
      </c>
    </row>
    <row r="41" spans="2:5" x14ac:dyDescent="0.5">
      <c r="B41" s="22" t="str" cm="1">
        <f t="array" aca="1" ref="B41" ca="1">IFERROR(IF(INDIRECT("'Task Tracking Sheet'!B" &amp; ROW(A39)) = "", "", INDIRECT("'Task Tracking Sheet'!B" &amp; ROW(A39))), "")</f>
        <v/>
      </c>
      <c r="C41" s="44" t="str" cm="1">
        <f t="array" aca="1" ref="C41" ca="1">IFERROR(IF(INDIRECT("'Task Tracking Sheet'!E" &amp; ROW(E39)) = "", "", INDIRECT("'Task Tracking Sheet'!E" &amp; ROW(E39))), "")</f>
        <v/>
      </c>
      <c r="D41" s="44" t="str" cm="1">
        <f t="array" aca="1" ref="D41" ca="1">IFERROR(IF(INDIRECT("'Task Tracking Sheet'!F" &amp; ROW(F39)) = "", "", INDIRECT("'Task Tracking Sheet'!F" &amp; ROW(F39))), "")</f>
        <v/>
      </c>
      <c r="E41" s="22" t="str">
        <f t="shared" ca="1" si="1"/>
        <v/>
      </c>
    </row>
    <row r="42" spans="2:5" x14ac:dyDescent="0.5">
      <c r="B42" s="22" t="str" cm="1">
        <f t="array" aca="1" ref="B42" ca="1">IFERROR(IF(INDIRECT("'Task Tracking Sheet'!B" &amp; ROW(A40)) = "", "", INDIRECT("'Task Tracking Sheet'!B" &amp; ROW(A40))), "")</f>
        <v/>
      </c>
      <c r="C42" s="44" t="str" cm="1">
        <f t="array" aca="1" ref="C42" ca="1">IFERROR(IF(INDIRECT("'Task Tracking Sheet'!E" &amp; ROW(E40)) = "", "", INDIRECT("'Task Tracking Sheet'!E" &amp; ROW(E40))), "")</f>
        <v/>
      </c>
      <c r="D42" s="44" t="str" cm="1">
        <f t="array" aca="1" ref="D42" ca="1">IFERROR(IF(INDIRECT("'Task Tracking Sheet'!F" &amp; ROW(F40)) = "", "", INDIRECT("'Task Tracking Sheet'!F" &amp; ROW(F40))), "")</f>
        <v/>
      </c>
      <c r="E42" s="22" t="str">
        <f t="shared" ca="1" si="1"/>
        <v/>
      </c>
    </row>
    <row r="43" spans="2:5" x14ac:dyDescent="0.5">
      <c r="B43" s="22" t="str" cm="1">
        <f t="array" aca="1" ref="B43" ca="1">IFERROR(IF(INDIRECT("'Task Tracking Sheet'!B" &amp; ROW(A41)) = "", "", INDIRECT("'Task Tracking Sheet'!B" &amp; ROW(A41))), "")</f>
        <v/>
      </c>
      <c r="C43" s="44" t="str" cm="1">
        <f t="array" aca="1" ref="C43" ca="1">IFERROR(IF(INDIRECT("'Task Tracking Sheet'!E" &amp; ROW(E41)) = "", "", INDIRECT("'Task Tracking Sheet'!E" &amp; ROW(E41))), "")</f>
        <v/>
      </c>
      <c r="D43" s="44" t="str" cm="1">
        <f t="array" aca="1" ref="D43" ca="1">IFERROR(IF(INDIRECT("'Task Tracking Sheet'!F" &amp; ROW(F41)) = "", "", INDIRECT("'Task Tracking Sheet'!F" &amp; ROW(F41))), "")</f>
        <v/>
      </c>
      <c r="E43" s="22" t="str">
        <f t="shared" ca="1" si="1"/>
        <v/>
      </c>
    </row>
    <row r="44" spans="2:5" x14ac:dyDescent="0.5">
      <c r="B44" s="22" t="str" cm="1">
        <f t="array" aca="1" ref="B44" ca="1">IFERROR(IF(INDIRECT("'Task Tracking Sheet'!B" &amp; ROW(A42)) = "", "", INDIRECT("'Task Tracking Sheet'!B" &amp; ROW(A42))), "")</f>
        <v/>
      </c>
      <c r="C44" s="44" t="str" cm="1">
        <f t="array" aca="1" ref="C44" ca="1">IFERROR(IF(INDIRECT("'Task Tracking Sheet'!E" &amp; ROW(E42)) = "", "", INDIRECT("'Task Tracking Sheet'!E" &amp; ROW(E42))), "")</f>
        <v/>
      </c>
      <c r="D44" s="44" t="str" cm="1">
        <f t="array" aca="1" ref="D44" ca="1">IFERROR(IF(INDIRECT("'Task Tracking Sheet'!F" &amp; ROW(F42)) = "", "", INDIRECT("'Task Tracking Sheet'!F" &amp; ROW(F42))), "")</f>
        <v/>
      </c>
      <c r="E44" s="22" t="str">
        <f t="shared" ca="1" si="1"/>
        <v/>
      </c>
    </row>
    <row r="45" spans="2:5" x14ac:dyDescent="0.5">
      <c r="B45" s="22" t="str" cm="1">
        <f t="array" aca="1" ref="B45" ca="1">IFERROR(IF(INDIRECT("'Task Tracking Sheet'!B" &amp; ROW(A43)) = "", "", INDIRECT("'Task Tracking Sheet'!B" &amp; ROW(A43))), "")</f>
        <v/>
      </c>
      <c r="C45" s="44" t="str" cm="1">
        <f t="array" aca="1" ref="C45" ca="1">IFERROR(IF(INDIRECT("'Task Tracking Sheet'!E" &amp; ROW(E43)) = "", "", INDIRECT("'Task Tracking Sheet'!E" &amp; ROW(E43))), "")</f>
        <v/>
      </c>
      <c r="D45" s="44" t="str" cm="1">
        <f t="array" aca="1" ref="D45" ca="1">IFERROR(IF(INDIRECT("'Task Tracking Sheet'!F" &amp; ROW(F43)) = "", "", INDIRECT("'Task Tracking Sheet'!F" &amp; ROW(F43))), "")</f>
        <v/>
      </c>
      <c r="E45" s="22" t="str">
        <f t="shared" ca="1" si="1"/>
        <v/>
      </c>
    </row>
    <row r="46" spans="2:5" x14ac:dyDescent="0.5">
      <c r="B46" s="22" t="str" cm="1">
        <f t="array" aca="1" ref="B46" ca="1">IFERROR(IF(INDIRECT("'Task Tracking Sheet'!B" &amp; ROW(A44)) = "", "", INDIRECT("'Task Tracking Sheet'!B" &amp; ROW(A44))), "")</f>
        <v/>
      </c>
      <c r="C46" s="44" t="str" cm="1">
        <f t="array" aca="1" ref="C46" ca="1">IFERROR(IF(INDIRECT("'Task Tracking Sheet'!E" &amp; ROW(E44)) = "", "", INDIRECT("'Task Tracking Sheet'!E" &amp; ROW(E44))), "")</f>
        <v/>
      </c>
      <c r="D46" s="44" t="str" cm="1">
        <f t="array" aca="1" ref="D46" ca="1">IFERROR(IF(INDIRECT("'Task Tracking Sheet'!F" &amp; ROW(F44)) = "", "", INDIRECT("'Task Tracking Sheet'!F" &amp; ROW(F44))), "")</f>
        <v/>
      </c>
      <c r="E46" s="22" t="str">
        <f t="shared" ca="1" si="1"/>
        <v/>
      </c>
    </row>
    <row r="47" spans="2:5" x14ac:dyDescent="0.5">
      <c r="B47" s="22" t="str" cm="1">
        <f t="array" aca="1" ref="B47" ca="1">IFERROR(IF(INDIRECT("'Task Tracking Sheet'!B" &amp; ROW(A45)) = "", "", INDIRECT("'Task Tracking Sheet'!B" &amp; ROW(A45))), "")</f>
        <v/>
      </c>
      <c r="C47" s="44" t="str" cm="1">
        <f t="array" aca="1" ref="C47" ca="1">IFERROR(IF(INDIRECT("'Task Tracking Sheet'!E" &amp; ROW(E45)) = "", "", INDIRECT("'Task Tracking Sheet'!E" &amp; ROW(E45))), "")</f>
        <v/>
      </c>
      <c r="D47" s="44" t="str" cm="1">
        <f t="array" aca="1" ref="D47" ca="1">IFERROR(IF(INDIRECT("'Task Tracking Sheet'!F" &amp; ROW(F45)) = "", "", INDIRECT("'Task Tracking Sheet'!F" &amp; ROW(F45))), "")</f>
        <v/>
      </c>
      <c r="E47" s="22" t="str">
        <f t="shared" ca="1" si="1"/>
        <v/>
      </c>
    </row>
    <row r="48" spans="2:5" x14ac:dyDescent="0.5">
      <c r="B48" s="22" t="str" cm="1">
        <f t="array" aca="1" ref="B48" ca="1">IFERROR(IF(INDIRECT("'Task Tracking Sheet'!B" &amp; ROW(A46)) = "", "", INDIRECT("'Task Tracking Sheet'!B" &amp; ROW(A46))), "")</f>
        <v/>
      </c>
      <c r="C48" s="44" t="str" cm="1">
        <f t="array" aca="1" ref="C48" ca="1">IFERROR(IF(INDIRECT("'Task Tracking Sheet'!E" &amp; ROW(E46)) = "", "", INDIRECT("'Task Tracking Sheet'!E" &amp; ROW(E46))), "")</f>
        <v/>
      </c>
      <c r="D48" s="44" t="str" cm="1">
        <f t="array" aca="1" ref="D48" ca="1">IFERROR(IF(INDIRECT("'Task Tracking Sheet'!F" &amp; ROW(F46)) = "", "", INDIRECT("'Task Tracking Sheet'!F" &amp; ROW(F46))), "")</f>
        <v/>
      </c>
      <c r="E48" s="22" t="str">
        <f t="shared" ca="1" si="1"/>
        <v/>
      </c>
    </row>
    <row r="49" spans="2:5" x14ac:dyDescent="0.5">
      <c r="B49" s="22" t="str" cm="1">
        <f t="array" aca="1" ref="B49" ca="1">IFERROR(IF(INDIRECT("'Task Tracking Sheet'!B" &amp; ROW(A47)) = "", "", INDIRECT("'Task Tracking Sheet'!B" &amp; ROW(A47))), "")</f>
        <v/>
      </c>
      <c r="C49" s="44" t="str" cm="1">
        <f t="array" aca="1" ref="C49" ca="1">IFERROR(IF(INDIRECT("'Task Tracking Sheet'!E" &amp; ROW(E47)) = "", "", INDIRECT("'Task Tracking Sheet'!E" &amp; ROW(E47))), "")</f>
        <v/>
      </c>
      <c r="D49" s="44" t="str" cm="1">
        <f t="array" aca="1" ref="D49" ca="1">IFERROR(IF(INDIRECT("'Task Tracking Sheet'!F" &amp; ROW(F47)) = "", "", INDIRECT("'Task Tracking Sheet'!F" &amp; ROW(F47))), "")</f>
        <v/>
      </c>
      <c r="E49" s="22" t="str">
        <f t="shared" ca="1" si="1"/>
        <v/>
      </c>
    </row>
    <row r="50" spans="2:5" x14ac:dyDescent="0.5">
      <c r="B50" s="22" t="str" cm="1">
        <f t="array" aca="1" ref="B50" ca="1">IFERROR(IF(INDIRECT("'Task Tracking Sheet'!B" &amp; ROW(A48)) = "", "", INDIRECT("'Task Tracking Sheet'!B" &amp; ROW(A48))), "")</f>
        <v/>
      </c>
      <c r="C50" s="44" t="str" cm="1">
        <f t="array" aca="1" ref="C50" ca="1">IFERROR(IF(INDIRECT("'Task Tracking Sheet'!E" &amp; ROW(E48)) = "", "", INDIRECT("'Task Tracking Sheet'!E" &amp; ROW(E48))), "")</f>
        <v/>
      </c>
      <c r="D50" s="44" t="str" cm="1">
        <f t="array" aca="1" ref="D50" ca="1">IFERROR(IF(INDIRECT("'Task Tracking Sheet'!F" &amp; ROW(F48)) = "", "", INDIRECT("'Task Tracking Sheet'!F" &amp; ROW(F48))), "")</f>
        <v/>
      </c>
      <c r="E50" s="22" t="str">
        <f t="shared" ca="1" si="1"/>
        <v/>
      </c>
    </row>
    <row r="51" spans="2:5" x14ac:dyDescent="0.5">
      <c r="B51" s="22" t="str" cm="1">
        <f t="array" aca="1" ref="B51" ca="1">IFERROR(IF(INDIRECT("'Task Tracking Sheet'!B" &amp; ROW(A49)) = "", "", INDIRECT("'Task Tracking Sheet'!B" &amp; ROW(A49))), "")</f>
        <v/>
      </c>
      <c r="C51" s="44" t="str" cm="1">
        <f t="array" aca="1" ref="C51" ca="1">IFERROR(IF(INDIRECT("'Task Tracking Sheet'!E" &amp; ROW(E49)) = "", "", INDIRECT("'Task Tracking Sheet'!E" &amp; ROW(E49))), "")</f>
        <v/>
      </c>
      <c r="D51" s="44" t="str" cm="1">
        <f t="array" aca="1" ref="D51" ca="1">IFERROR(IF(INDIRECT("'Task Tracking Sheet'!F" &amp; ROW(F49)) = "", "", INDIRECT("'Task Tracking Sheet'!F" &amp; ROW(F49))), "")</f>
        <v/>
      </c>
      <c r="E51" s="22" t="str">
        <f t="shared" ca="1" si="1"/>
        <v/>
      </c>
    </row>
    <row r="52" spans="2:5" x14ac:dyDescent="0.5">
      <c r="B52" s="22" t="str" cm="1">
        <f t="array" aca="1" ref="B52" ca="1">IFERROR(IF(INDIRECT("'Task Tracking Sheet'!B" &amp; ROW(A50)) = "", "", INDIRECT("'Task Tracking Sheet'!B" &amp; ROW(A50))), "")</f>
        <v/>
      </c>
      <c r="C52" s="44" t="str" cm="1">
        <f t="array" aca="1" ref="C52" ca="1">IFERROR(IF(INDIRECT("'Task Tracking Sheet'!E" &amp; ROW(E50)) = "", "", INDIRECT("'Task Tracking Sheet'!E" &amp; ROW(E50))), "")</f>
        <v/>
      </c>
      <c r="D52" s="44" t="str" cm="1">
        <f t="array" aca="1" ref="D52" ca="1">IFERROR(IF(INDIRECT("'Task Tracking Sheet'!F" &amp; ROW(F50)) = "", "", INDIRECT("'Task Tracking Sheet'!F" &amp; ROW(F50))), "")</f>
        <v/>
      </c>
      <c r="E52" s="22" t="str">
        <f t="shared" ca="1" si="1"/>
        <v/>
      </c>
    </row>
    <row r="53" spans="2:5" x14ac:dyDescent="0.5">
      <c r="B53" s="22" t="str" cm="1">
        <f t="array" aca="1" ref="B53" ca="1">IFERROR(IF(INDIRECT("'Task Tracking Sheet'!B" &amp; ROW(A51)) = "", "", INDIRECT("'Task Tracking Sheet'!B" &amp; ROW(A51))), "")</f>
        <v/>
      </c>
      <c r="C53" s="44" t="str" cm="1">
        <f t="array" aca="1" ref="C53" ca="1">IFERROR(IF(INDIRECT("'Task Tracking Sheet'!E" &amp; ROW(E51)) = "", "", INDIRECT("'Task Tracking Sheet'!E" &amp; ROW(E51))), "")</f>
        <v/>
      </c>
      <c r="D53" s="44" t="str" cm="1">
        <f t="array" aca="1" ref="D53" ca="1">IFERROR(IF(INDIRECT("'Task Tracking Sheet'!F" &amp; ROW(F51)) = "", "", INDIRECT("'Task Tracking Sheet'!F" &amp; ROW(F51))), "")</f>
        <v/>
      </c>
      <c r="E53" s="22" t="str">
        <f t="shared" ca="1" si="1"/>
        <v/>
      </c>
    </row>
    <row r="54" spans="2:5" x14ac:dyDescent="0.5">
      <c r="B54" s="22" t="str" cm="1">
        <f t="array" aca="1" ref="B54" ca="1">IFERROR(IF(INDIRECT("'Task Tracking Sheet'!B" &amp; ROW(A52)) = "", "", INDIRECT("'Task Tracking Sheet'!B" &amp; ROW(A52))), "")</f>
        <v/>
      </c>
      <c r="C54" s="44" t="str" cm="1">
        <f t="array" aca="1" ref="C54" ca="1">IFERROR(IF(INDIRECT("'Task Tracking Sheet'!E" &amp; ROW(E52)) = "", "", INDIRECT("'Task Tracking Sheet'!E" &amp; ROW(E52))), "")</f>
        <v/>
      </c>
      <c r="D54" s="44" t="str" cm="1">
        <f t="array" aca="1" ref="D54" ca="1">IFERROR(IF(INDIRECT("'Task Tracking Sheet'!F" &amp; ROW(F52)) = "", "", INDIRECT("'Task Tracking Sheet'!F" &amp; ROW(F52))), "")</f>
        <v/>
      </c>
      <c r="E54" s="22" t="str">
        <f t="shared" ca="1" si="1"/>
        <v/>
      </c>
    </row>
    <row r="55" spans="2:5" x14ac:dyDescent="0.5">
      <c r="B55" s="22" t="str" cm="1">
        <f t="array" aca="1" ref="B55" ca="1">IFERROR(IF(INDIRECT("'Task Tracking Sheet'!B" &amp; ROW(A53)) = "", "", INDIRECT("'Task Tracking Sheet'!B" &amp; ROW(A53))), "")</f>
        <v/>
      </c>
      <c r="C55" s="44" t="str" cm="1">
        <f t="array" aca="1" ref="C55" ca="1">IFERROR(IF(INDIRECT("'Task Tracking Sheet'!E" &amp; ROW(E53)) = "", "", INDIRECT("'Task Tracking Sheet'!E" &amp; ROW(E53))), "")</f>
        <v/>
      </c>
      <c r="D55" s="44" t="str" cm="1">
        <f t="array" aca="1" ref="D55" ca="1">IFERROR(IF(INDIRECT("'Task Tracking Sheet'!F" &amp; ROW(F53)) = "", "", INDIRECT("'Task Tracking Sheet'!F" &amp; ROW(F53))), "")</f>
        <v/>
      </c>
      <c r="E55" s="22" t="str">
        <f t="shared" ca="1" si="1"/>
        <v/>
      </c>
    </row>
    <row r="56" spans="2:5" x14ac:dyDescent="0.5">
      <c r="B56" s="22" t="str" cm="1">
        <f t="array" aca="1" ref="B56" ca="1">IFERROR(IF(INDIRECT("'Task Tracking Sheet'!B" &amp; ROW(A54)) = "", "", INDIRECT("'Task Tracking Sheet'!B" &amp; ROW(A54))), "")</f>
        <v/>
      </c>
      <c r="C56" s="44" t="str" cm="1">
        <f t="array" aca="1" ref="C56" ca="1">IFERROR(IF(INDIRECT("'Task Tracking Sheet'!E" &amp; ROW(E54)) = "", "", INDIRECT("'Task Tracking Sheet'!E" &amp; ROW(E54))), "")</f>
        <v/>
      </c>
      <c r="D56" s="44" t="str" cm="1">
        <f t="array" aca="1" ref="D56" ca="1">IFERROR(IF(INDIRECT("'Task Tracking Sheet'!F" &amp; ROW(F54)) = "", "", INDIRECT("'Task Tracking Sheet'!F" &amp; ROW(F54))), "")</f>
        <v/>
      </c>
      <c r="E56" s="22" t="str">
        <f t="shared" ca="1" si="1"/>
        <v/>
      </c>
    </row>
    <row r="57" spans="2:5" x14ac:dyDescent="0.5">
      <c r="B57" s="22" t="str" cm="1">
        <f t="array" aca="1" ref="B57" ca="1">IFERROR(IF(INDIRECT("'Task Tracking Sheet'!B" &amp; ROW(A55)) = "", "", INDIRECT("'Task Tracking Sheet'!B" &amp; ROW(A55))), "")</f>
        <v/>
      </c>
      <c r="C57" s="44" t="str" cm="1">
        <f t="array" aca="1" ref="C57" ca="1">IFERROR(IF(INDIRECT("'Task Tracking Sheet'!E" &amp; ROW(E55)) = "", "", INDIRECT("'Task Tracking Sheet'!E" &amp; ROW(E55))), "")</f>
        <v/>
      </c>
      <c r="D57" s="44" t="str" cm="1">
        <f t="array" aca="1" ref="D57" ca="1">IFERROR(IF(INDIRECT("'Task Tracking Sheet'!F" &amp; ROW(F55)) = "", "", INDIRECT("'Task Tracking Sheet'!F" &amp; ROW(F55))), "")</f>
        <v/>
      </c>
      <c r="E57" s="22" t="str">
        <f t="shared" ca="1" si="1"/>
        <v/>
      </c>
    </row>
    <row r="58" spans="2:5" x14ac:dyDescent="0.5">
      <c r="B58" s="22" t="str" cm="1">
        <f t="array" aca="1" ref="B58" ca="1">IFERROR(IF(INDIRECT("'Task Tracking Sheet'!B" &amp; ROW(A56)) = "", "", INDIRECT("'Task Tracking Sheet'!B" &amp; ROW(A56))), "")</f>
        <v/>
      </c>
      <c r="C58" s="44" t="str" cm="1">
        <f t="array" aca="1" ref="C58" ca="1">IFERROR(IF(INDIRECT("'Task Tracking Sheet'!E" &amp; ROW(E56)) = "", "", INDIRECT("'Task Tracking Sheet'!E" &amp; ROW(E56))), "")</f>
        <v/>
      </c>
      <c r="D58" s="44" t="str" cm="1">
        <f t="array" aca="1" ref="D58" ca="1">IFERROR(IF(INDIRECT("'Task Tracking Sheet'!F" &amp; ROW(F56)) = "", "", INDIRECT("'Task Tracking Sheet'!F" &amp; ROW(F56))), "")</f>
        <v/>
      </c>
      <c r="E58" s="22" t="str">
        <f t="shared" ca="1" si="1"/>
        <v/>
      </c>
    </row>
    <row r="59" spans="2:5" x14ac:dyDescent="0.5">
      <c r="B59" s="22" t="str" cm="1">
        <f t="array" aca="1" ref="B59" ca="1">IFERROR(IF(INDIRECT("'Task Tracking Sheet'!B" &amp; ROW(A57)) = "", "", INDIRECT("'Task Tracking Sheet'!B" &amp; ROW(A57))), "")</f>
        <v/>
      </c>
      <c r="C59" s="44" t="str" cm="1">
        <f t="array" aca="1" ref="C59" ca="1">IFERROR(IF(INDIRECT("'Task Tracking Sheet'!E" &amp; ROW(E57)) = "", "", INDIRECT("'Task Tracking Sheet'!E" &amp; ROW(E57))), "")</f>
        <v/>
      </c>
      <c r="D59" s="44" t="str" cm="1">
        <f t="array" aca="1" ref="D59" ca="1">IFERROR(IF(INDIRECT("'Task Tracking Sheet'!F" &amp; ROW(F57)) = "", "", INDIRECT("'Task Tracking Sheet'!F" &amp; ROW(F57))), "")</f>
        <v/>
      </c>
      <c r="E59" s="22" t="str">
        <f t="shared" ca="1" si="1"/>
        <v/>
      </c>
    </row>
    <row r="60" spans="2:5" x14ac:dyDescent="0.5">
      <c r="B60" s="22" t="str" cm="1">
        <f t="array" aca="1" ref="B60" ca="1">IFERROR(IF(INDIRECT("'Task Tracking Sheet'!B" &amp; ROW(A58)) = "", "", INDIRECT("'Task Tracking Sheet'!B" &amp; ROW(A58))), "")</f>
        <v/>
      </c>
      <c r="C60" s="44" t="str" cm="1">
        <f t="array" aca="1" ref="C60" ca="1">IFERROR(IF(INDIRECT("'Task Tracking Sheet'!E" &amp; ROW(E58)) = "", "", INDIRECT("'Task Tracking Sheet'!E" &amp; ROW(E58))), "")</f>
        <v/>
      </c>
      <c r="D60" s="44" t="str" cm="1">
        <f t="array" aca="1" ref="D60" ca="1">IFERROR(IF(INDIRECT("'Task Tracking Sheet'!F" &amp; ROW(F58)) = "", "", INDIRECT("'Task Tracking Sheet'!F" &amp; ROW(F58))), "")</f>
        <v/>
      </c>
      <c r="E60" s="22" t="str">
        <f t="shared" ca="1" si="1"/>
        <v/>
      </c>
    </row>
    <row r="61" spans="2:5" x14ac:dyDescent="0.5">
      <c r="B61" s="22" t="str" cm="1">
        <f t="array" aca="1" ref="B61" ca="1">IFERROR(IF(INDIRECT("'Task Tracking Sheet'!B" &amp; ROW(A59)) = "", "", INDIRECT("'Task Tracking Sheet'!B" &amp; ROW(A59))), "")</f>
        <v/>
      </c>
      <c r="C61" s="44" t="str" cm="1">
        <f t="array" aca="1" ref="C61" ca="1">IFERROR(IF(INDIRECT("'Task Tracking Sheet'!E" &amp; ROW(E59)) = "", "", INDIRECT("'Task Tracking Sheet'!E" &amp; ROW(E59))), "")</f>
        <v/>
      </c>
      <c r="D61" s="44" t="str" cm="1">
        <f t="array" aca="1" ref="D61" ca="1">IFERROR(IF(INDIRECT("'Task Tracking Sheet'!F" &amp; ROW(F59)) = "", "", INDIRECT("'Task Tracking Sheet'!F" &amp; ROW(F59))), "")</f>
        <v/>
      </c>
      <c r="E61" s="22" t="str">
        <f t="shared" ca="1" si="1"/>
        <v/>
      </c>
    </row>
    <row r="62" spans="2:5" x14ac:dyDescent="0.5">
      <c r="B62" s="22" t="str" cm="1">
        <f t="array" aca="1" ref="B62" ca="1">IFERROR(IF(INDIRECT("'Task Tracking Sheet'!B" &amp; ROW(A60)) = "", "", INDIRECT("'Task Tracking Sheet'!B" &amp; ROW(A60))), "")</f>
        <v/>
      </c>
      <c r="C62" s="44" t="str" cm="1">
        <f t="array" aca="1" ref="C62" ca="1">IFERROR(IF(INDIRECT("'Task Tracking Sheet'!E" &amp; ROW(E60)) = "", "", INDIRECT("'Task Tracking Sheet'!E" &amp; ROW(E60))), "")</f>
        <v/>
      </c>
      <c r="D62" s="44" t="str" cm="1">
        <f t="array" aca="1" ref="D62" ca="1">IFERROR(IF(INDIRECT("'Task Tracking Sheet'!F" &amp; ROW(F60)) = "", "", INDIRECT("'Task Tracking Sheet'!F" &amp; ROW(F60))), "")</f>
        <v/>
      </c>
      <c r="E62" s="22" t="str">
        <f t="shared" ca="1" si="1"/>
        <v/>
      </c>
    </row>
    <row r="63" spans="2:5" x14ac:dyDescent="0.5">
      <c r="B63" s="22" t="str" cm="1">
        <f t="array" aca="1" ref="B63" ca="1">IFERROR(IF(INDIRECT("'Task Tracking Sheet'!B" &amp; ROW(A61)) = "", "", INDIRECT("'Task Tracking Sheet'!B" &amp; ROW(A61))), "")</f>
        <v/>
      </c>
      <c r="C63" s="44" t="str" cm="1">
        <f t="array" aca="1" ref="C63" ca="1">IFERROR(IF(INDIRECT("'Task Tracking Sheet'!E" &amp; ROW(E61)) = "", "", INDIRECT("'Task Tracking Sheet'!E" &amp; ROW(E61))), "")</f>
        <v/>
      </c>
      <c r="D63" s="44" t="str" cm="1">
        <f t="array" aca="1" ref="D63" ca="1">IFERROR(IF(INDIRECT("'Task Tracking Sheet'!F" &amp; ROW(F61)) = "", "", INDIRECT("'Task Tracking Sheet'!F" &amp; ROW(F61))), "")</f>
        <v/>
      </c>
      <c r="E63" s="22" t="str">
        <f t="shared" ca="1" si="1"/>
        <v/>
      </c>
    </row>
    <row r="64" spans="2:5" x14ac:dyDescent="0.5">
      <c r="B64" s="22" t="str" cm="1">
        <f t="array" aca="1" ref="B64" ca="1">IFERROR(IF(INDIRECT("'Task Tracking Sheet'!B" &amp; ROW(A62)) = "", "", INDIRECT("'Task Tracking Sheet'!B" &amp; ROW(A62))), "")</f>
        <v/>
      </c>
      <c r="C64" s="44" t="str" cm="1">
        <f t="array" aca="1" ref="C64" ca="1">IFERROR(IF(INDIRECT("'Task Tracking Sheet'!E" &amp; ROW(E62)) = "", "", INDIRECT("'Task Tracking Sheet'!E" &amp; ROW(E62))), "")</f>
        <v/>
      </c>
      <c r="D64" s="44" t="str" cm="1">
        <f t="array" aca="1" ref="D64" ca="1">IFERROR(IF(INDIRECT("'Task Tracking Sheet'!F" &amp; ROW(F62)) = "", "", INDIRECT("'Task Tracking Sheet'!F" &amp; ROW(F62))), "")</f>
        <v/>
      </c>
      <c r="E64" s="22" t="str">
        <f t="shared" ca="1" si="1"/>
        <v/>
      </c>
    </row>
    <row r="65" spans="2:5" x14ac:dyDescent="0.5">
      <c r="B65" s="22" t="str" cm="1">
        <f t="array" aca="1" ref="B65" ca="1">IFERROR(IF(INDIRECT("'Task Tracking Sheet'!B" &amp; ROW(A63)) = "", "", INDIRECT("'Task Tracking Sheet'!B" &amp; ROW(A63))), "")</f>
        <v/>
      </c>
      <c r="C65" s="44" t="str" cm="1">
        <f t="array" aca="1" ref="C65" ca="1">IFERROR(IF(INDIRECT("'Task Tracking Sheet'!E" &amp; ROW(E63)) = "", "", INDIRECT("'Task Tracking Sheet'!E" &amp; ROW(E63))), "")</f>
        <v/>
      </c>
      <c r="D65" s="44" t="str" cm="1">
        <f t="array" aca="1" ref="D65" ca="1">IFERROR(IF(INDIRECT("'Task Tracking Sheet'!F" &amp; ROW(F63)) = "", "", INDIRECT("'Task Tracking Sheet'!F" &amp; ROW(F63))), "")</f>
        <v/>
      </c>
      <c r="E65" s="22" t="str">
        <f t="shared" ca="1" si="1"/>
        <v/>
      </c>
    </row>
    <row r="66" spans="2:5" x14ac:dyDescent="0.5">
      <c r="B66" s="22" t="str" cm="1">
        <f t="array" aca="1" ref="B66" ca="1">IFERROR(IF(INDIRECT("'Task Tracking Sheet'!B" &amp; ROW(A64)) = "", "", INDIRECT("'Task Tracking Sheet'!B" &amp; ROW(A64))), "")</f>
        <v/>
      </c>
      <c r="C66" s="44" t="str" cm="1">
        <f t="array" aca="1" ref="C66" ca="1">IFERROR(IF(INDIRECT("'Task Tracking Sheet'!E" &amp; ROW(E64)) = "", "", INDIRECT("'Task Tracking Sheet'!E" &amp; ROW(E64))), "")</f>
        <v/>
      </c>
      <c r="D66" s="44" t="str" cm="1">
        <f t="array" aca="1" ref="D66" ca="1">IFERROR(IF(INDIRECT("'Task Tracking Sheet'!F" &amp; ROW(F64)) = "", "", INDIRECT("'Task Tracking Sheet'!F" &amp; ROW(F64))), "")</f>
        <v/>
      </c>
      <c r="E66" s="22" t="str">
        <f t="shared" ca="1" si="1"/>
        <v/>
      </c>
    </row>
    <row r="67" spans="2:5" x14ac:dyDescent="0.5">
      <c r="B67" s="22" t="str" cm="1">
        <f t="array" aca="1" ref="B67" ca="1">IFERROR(IF(INDIRECT("'Task Tracking Sheet'!B" &amp; ROW(A65)) = "", "", INDIRECT("'Task Tracking Sheet'!B" &amp; ROW(A65))), "")</f>
        <v/>
      </c>
      <c r="C67" s="44" t="str" cm="1">
        <f t="array" aca="1" ref="C67" ca="1">IFERROR(IF(INDIRECT("'Task Tracking Sheet'!E" &amp; ROW(E65)) = "", "", INDIRECT("'Task Tracking Sheet'!E" &amp; ROW(E65))), "")</f>
        <v/>
      </c>
      <c r="D67" s="44" t="str" cm="1">
        <f t="array" aca="1" ref="D67" ca="1">IFERROR(IF(INDIRECT("'Task Tracking Sheet'!F" &amp; ROW(F65)) = "", "", INDIRECT("'Task Tracking Sheet'!F" &amp; ROW(F65))), "")</f>
        <v/>
      </c>
      <c r="E67" s="22" t="str">
        <f t="shared" ca="1" si="1"/>
        <v/>
      </c>
    </row>
    <row r="68" spans="2:5" x14ac:dyDescent="0.5">
      <c r="B68" s="22" t="str" cm="1">
        <f t="array" aca="1" ref="B68" ca="1">IFERROR(IF(INDIRECT("'Task Tracking Sheet'!B" &amp; ROW(A66)) = "", "", INDIRECT("'Task Tracking Sheet'!B" &amp; ROW(A66))), "")</f>
        <v/>
      </c>
      <c r="C68" s="44" t="str" cm="1">
        <f t="array" aca="1" ref="C68" ca="1">IFERROR(IF(INDIRECT("'Task Tracking Sheet'!E" &amp; ROW(E66)) = "", "", INDIRECT("'Task Tracking Sheet'!E" &amp; ROW(E66))), "")</f>
        <v/>
      </c>
      <c r="D68" s="44" t="str" cm="1">
        <f t="array" aca="1" ref="D68" ca="1">IFERROR(IF(INDIRECT("'Task Tracking Sheet'!F" &amp; ROW(F66)) = "", "", INDIRECT("'Task Tracking Sheet'!F" &amp; ROW(F66))), "")</f>
        <v/>
      </c>
      <c r="E68" s="22" t="str">
        <f t="shared" ca="1" si="1"/>
        <v/>
      </c>
    </row>
    <row r="69" spans="2:5" x14ac:dyDescent="0.5">
      <c r="B69" s="22" t="str" cm="1">
        <f t="array" aca="1" ref="B69" ca="1">IFERROR(IF(INDIRECT("'Task Tracking Sheet'!B" &amp; ROW(A67)) = "", "", INDIRECT("'Task Tracking Sheet'!B" &amp; ROW(A67))), "")</f>
        <v/>
      </c>
      <c r="C69" s="44" t="str" cm="1">
        <f t="array" aca="1" ref="C69" ca="1">IFERROR(IF(INDIRECT("'Task Tracking Sheet'!E" &amp; ROW(E67)) = "", "", INDIRECT("'Task Tracking Sheet'!E" &amp; ROW(E67))), "")</f>
        <v/>
      </c>
      <c r="D69" s="44" t="str" cm="1">
        <f t="array" aca="1" ref="D69" ca="1">IFERROR(IF(INDIRECT("'Task Tracking Sheet'!F" &amp; ROW(F67)) = "", "", INDIRECT("'Task Tracking Sheet'!F" &amp; ROW(F67))), "")</f>
        <v/>
      </c>
      <c r="E69" s="22" t="str">
        <f t="shared" ca="1" si="1"/>
        <v/>
      </c>
    </row>
    <row r="70" spans="2:5" x14ac:dyDescent="0.5">
      <c r="B70" s="22" t="str" cm="1">
        <f t="array" aca="1" ref="B70" ca="1">IFERROR(IF(INDIRECT("'Task Tracking Sheet'!B" &amp; ROW(A68)) = "", "", INDIRECT("'Task Tracking Sheet'!B" &amp; ROW(A68))), "")</f>
        <v/>
      </c>
      <c r="C70" s="44" t="str" cm="1">
        <f t="array" aca="1" ref="C70" ca="1">IFERROR(IF(INDIRECT("'Task Tracking Sheet'!E" &amp; ROW(E68)) = "", "", INDIRECT("'Task Tracking Sheet'!E" &amp; ROW(E68))), "")</f>
        <v/>
      </c>
      <c r="D70" s="44" t="str" cm="1">
        <f t="array" aca="1" ref="D70" ca="1">IFERROR(IF(INDIRECT("'Task Tracking Sheet'!F" &amp; ROW(F68)) = "", "", INDIRECT("'Task Tracking Sheet'!F" &amp; ROW(F68))), "")</f>
        <v/>
      </c>
      <c r="E70" s="22" t="str">
        <f t="shared" ca="1" si="1"/>
        <v/>
      </c>
    </row>
    <row r="71" spans="2:5" x14ac:dyDescent="0.5">
      <c r="B71" s="22" t="str" cm="1">
        <f t="array" aca="1" ref="B71" ca="1">IFERROR(IF(INDIRECT("'Task Tracking Sheet'!B" &amp; ROW(A69)) = "", "", INDIRECT("'Task Tracking Sheet'!B" &amp; ROW(A69))), "")</f>
        <v/>
      </c>
      <c r="C71" s="44" t="str" cm="1">
        <f t="array" aca="1" ref="C71" ca="1">IFERROR(IF(INDIRECT("'Task Tracking Sheet'!E" &amp; ROW(E69)) = "", "", INDIRECT("'Task Tracking Sheet'!E" &amp; ROW(E69))), "")</f>
        <v/>
      </c>
      <c r="D71" s="44" t="str" cm="1">
        <f t="array" aca="1" ref="D71" ca="1">IFERROR(IF(INDIRECT("'Task Tracking Sheet'!F" &amp; ROW(F69)) = "", "", INDIRECT("'Task Tracking Sheet'!F" &amp; ROW(F69))), "")</f>
        <v/>
      </c>
      <c r="E71" s="22" t="str">
        <f t="shared" ca="1" si="1"/>
        <v/>
      </c>
    </row>
    <row r="72" spans="2:5" x14ac:dyDescent="0.5">
      <c r="B72" s="22" t="str" cm="1">
        <f t="array" aca="1" ref="B72" ca="1">IFERROR(IF(INDIRECT("'Task Tracking Sheet'!B" &amp; ROW(A70)) = "", "", INDIRECT("'Task Tracking Sheet'!B" &amp; ROW(A70))), "")</f>
        <v/>
      </c>
      <c r="C72" s="44" t="str" cm="1">
        <f t="array" aca="1" ref="C72" ca="1">IFERROR(IF(INDIRECT("'Task Tracking Sheet'!E" &amp; ROW(E70)) = "", "", INDIRECT("'Task Tracking Sheet'!E" &amp; ROW(E70))), "")</f>
        <v/>
      </c>
      <c r="D72" s="44" t="str" cm="1">
        <f t="array" aca="1" ref="D72" ca="1">IFERROR(IF(INDIRECT("'Task Tracking Sheet'!F" &amp; ROW(F70)) = "", "", INDIRECT("'Task Tracking Sheet'!F" &amp; ROW(F70))), "")</f>
        <v/>
      </c>
      <c r="E72" s="22" t="str">
        <f t="shared" ca="1" si="1"/>
        <v/>
      </c>
    </row>
    <row r="73" spans="2:5" x14ac:dyDescent="0.5">
      <c r="B73" s="22" t="str" cm="1">
        <f t="array" aca="1" ref="B73" ca="1">IFERROR(IF(INDIRECT("'Task Tracking Sheet'!B" &amp; ROW(A71)) = "", "", INDIRECT("'Task Tracking Sheet'!B" &amp; ROW(A71))), "")</f>
        <v/>
      </c>
      <c r="C73" s="44" t="str" cm="1">
        <f t="array" aca="1" ref="C73" ca="1">IFERROR(IF(INDIRECT("'Task Tracking Sheet'!E" &amp; ROW(E71)) = "", "", INDIRECT("'Task Tracking Sheet'!E" &amp; ROW(E71))), "")</f>
        <v/>
      </c>
      <c r="D73" s="44" t="str" cm="1">
        <f t="array" aca="1" ref="D73" ca="1">IFERROR(IF(INDIRECT("'Task Tracking Sheet'!F" &amp; ROW(F71)) = "", "", INDIRECT("'Task Tracking Sheet'!F" &amp; ROW(F71))), "")</f>
        <v/>
      </c>
      <c r="E73" s="22" t="str">
        <f t="shared" ca="1" si="1"/>
        <v/>
      </c>
    </row>
    <row r="74" spans="2:5" x14ac:dyDescent="0.5">
      <c r="B74" s="22" t="str" cm="1">
        <f t="array" aca="1" ref="B74" ca="1">IFERROR(IF(INDIRECT("'Task Tracking Sheet'!B" &amp; ROW(A72)) = "", "", INDIRECT("'Task Tracking Sheet'!B" &amp; ROW(A72))), "")</f>
        <v/>
      </c>
      <c r="C74" s="44" t="str" cm="1">
        <f t="array" aca="1" ref="C74" ca="1">IFERROR(IF(INDIRECT("'Task Tracking Sheet'!E" &amp; ROW(E72)) = "", "", INDIRECT("'Task Tracking Sheet'!E" &amp; ROW(E72))), "")</f>
        <v/>
      </c>
      <c r="D74" s="44" t="str" cm="1">
        <f t="array" aca="1" ref="D74" ca="1">IFERROR(IF(INDIRECT("'Task Tracking Sheet'!F" &amp; ROW(F72)) = "", "", INDIRECT("'Task Tracking Sheet'!F" &amp; ROW(F72))), "")</f>
        <v/>
      </c>
      <c r="E74" s="22" t="str">
        <f t="shared" ca="1" si="1"/>
        <v/>
      </c>
    </row>
    <row r="75" spans="2:5" x14ac:dyDescent="0.5">
      <c r="B75" s="22" t="str" cm="1">
        <f t="array" aca="1" ref="B75" ca="1">IFERROR(IF(INDIRECT("'Task Tracking Sheet'!B" &amp; ROW(A73)) = "", "", INDIRECT("'Task Tracking Sheet'!B" &amp; ROW(A73))), "")</f>
        <v/>
      </c>
      <c r="C75" s="44" t="str" cm="1">
        <f t="array" aca="1" ref="C75" ca="1">IFERROR(IF(INDIRECT("'Task Tracking Sheet'!E" &amp; ROW(E73)) = "", "", INDIRECT("'Task Tracking Sheet'!E" &amp; ROW(E73))), "")</f>
        <v/>
      </c>
      <c r="D75" s="44" t="str" cm="1">
        <f t="array" aca="1" ref="D75" ca="1">IFERROR(IF(INDIRECT("'Task Tracking Sheet'!F" &amp; ROW(F73)) = "", "", INDIRECT("'Task Tracking Sheet'!F" &amp; ROW(F73))), "")</f>
        <v/>
      </c>
      <c r="E75" s="22" t="str">
        <f t="shared" ref="E75:E100" ca="1" si="2">IF(OR(C75 = "", D75 = ""), "", D75 - C75)</f>
        <v/>
      </c>
    </row>
    <row r="76" spans="2:5" x14ac:dyDescent="0.5">
      <c r="B76" s="22" t="str" cm="1">
        <f t="array" aca="1" ref="B76" ca="1">IFERROR(IF(INDIRECT("'Task Tracking Sheet'!B" &amp; ROW(A74)) = "", "", INDIRECT("'Task Tracking Sheet'!B" &amp; ROW(A74))), "")</f>
        <v/>
      </c>
      <c r="C76" s="44" t="str" cm="1">
        <f t="array" aca="1" ref="C76" ca="1">IFERROR(IF(INDIRECT("'Task Tracking Sheet'!E" &amp; ROW(E74)) = "", "", INDIRECT("'Task Tracking Sheet'!E" &amp; ROW(E74))), "")</f>
        <v/>
      </c>
      <c r="D76" s="44" t="str" cm="1">
        <f t="array" aca="1" ref="D76" ca="1">IFERROR(IF(INDIRECT("'Task Tracking Sheet'!F" &amp; ROW(F74)) = "", "", INDIRECT("'Task Tracking Sheet'!F" &amp; ROW(F74))), "")</f>
        <v/>
      </c>
      <c r="E76" s="22" t="str">
        <f t="shared" ca="1" si="2"/>
        <v/>
      </c>
    </row>
    <row r="77" spans="2:5" x14ac:dyDescent="0.5">
      <c r="B77" s="22" t="str" cm="1">
        <f t="array" aca="1" ref="B77" ca="1">IFERROR(IF(INDIRECT("'Task Tracking Sheet'!B" &amp; ROW(A75)) = "", "", INDIRECT("'Task Tracking Sheet'!B" &amp; ROW(A75))), "")</f>
        <v/>
      </c>
      <c r="C77" s="44" t="str" cm="1">
        <f t="array" aca="1" ref="C77" ca="1">IFERROR(IF(INDIRECT("'Task Tracking Sheet'!E" &amp; ROW(E75)) = "", "", INDIRECT("'Task Tracking Sheet'!E" &amp; ROW(E75))), "")</f>
        <v/>
      </c>
      <c r="D77" s="44" t="str" cm="1">
        <f t="array" aca="1" ref="D77" ca="1">IFERROR(IF(INDIRECT("'Task Tracking Sheet'!F" &amp; ROW(F75)) = "", "", INDIRECT("'Task Tracking Sheet'!F" &amp; ROW(F75))), "")</f>
        <v/>
      </c>
      <c r="E77" s="22" t="str">
        <f t="shared" ca="1" si="2"/>
        <v/>
      </c>
    </row>
    <row r="78" spans="2:5" x14ac:dyDescent="0.5">
      <c r="B78" s="22" t="str" cm="1">
        <f t="array" aca="1" ref="B78" ca="1">IFERROR(IF(INDIRECT("'Task Tracking Sheet'!B" &amp; ROW(A76)) = "", "", INDIRECT("'Task Tracking Sheet'!B" &amp; ROW(A76))), "")</f>
        <v/>
      </c>
      <c r="C78" s="44" t="str" cm="1">
        <f t="array" aca="1" ref="C78" ca="1">IFERROR(IF(INDIRECT("'Task Tracking Sheet'!E" &amp; ROW(E76)) = "", "", INDIRECT("'Task Tracking Sheet'!E" &amp; ROW(E76))), "")</f>
        <v/>
      </c>
      <c r="D78" s="44" t="str" cm="1">
        <f t="array" aca="1" ref="D78" ca="1">IFERROR(IF(INDIRECT("'Task Tracking Sheet'!F" &amp; ROW(F76)) = "", "", INDIRECT("'Task Tracking Sheet'!F" &amp; ROW(F76))), "")</f>
        <v/>
      </c>
      <c r="E78" s="22" t="str">
        <f t="shared" ca="1" si="2"/>
        <v/>
      </c>
    </row>
    <row r="79" spans="2:5" x14ac:dyDescent="0.5">
      <c r="B79" s="22" t="str" cm="1">
        <f t="array" aca="1" ref="B79" ca="1">IFERROR(IF(INDIRECT("'Task Tracking Sheet'!B" &amp; ROW(A77)) = "", "", INDIRECT("'Task Tracking Sheet'!B" &amp; ROW(A77))), "")</f>
        <v/>
      </c>
      <c r="C79" s="44" t="str" cm="1">
        <f t="array" aca="1" ref="C79" ca="1">IFERROR(IF(INDIRECT("'Task Tracking Sheet'!E" &amp; ROW(E77)) = "", "", INDIRECT("'Task Tracking Sheet'!E" &amp; ROW(E77))), "")</f>
        <v/>
      </c>
      <c r="D79" s="44" t="str" cm="1">
        <f t="array" aca="1" ref="D79" ca="1">IFERROR(IF(INDIRECT("'Task Tracking Sheet'!F" &amp; ROW(F77)) = "", "", INDIRECT("'Task Tracking Sheet'!F" &amp; ROW(F77))), "")</f>
        <v/>
      </c>
      <c r="E79" s="22" t="str">
        <f t="shared" ca="1" si="2"/>
        <v/>
      </c>
    </row>
    <row r="80" spans="2:5" x14ac:dyDescent="0.5">
      <c r="B80" s="22" t="str" cm="1">
        <f t="array" aca="1" ref="B80" ca="1">IFERROR(IF(INDIRECT("'Task Tracking Sheet'!B" &amp; ROW(A78)) = "", "", INDIRECT("'Task Tracking Sheet'!B" &amp; ROW(A78))), "")</f>
        <v/>
      </c>
      <c r="C80" s="44" t="str" cm="1">
        <f t="array" aca="1" ref="C80" ca="1">IFERROR(IF(INDIRECT("'Task Tracking Sheet'!E" &amp; ROW(E78)) = "", "", INDIRECT("'Task Tracking Sheet'!E" &amp; ROW(E78))), "")</f>
        <v/>
      </c>
      <c r="D80" s="44" t="str" cm="1">
        <f t="array" aca="1" ref="D80" ca="1">IFERROR(IF(INDIRECT("'Task Tracking Sheet'!F" &amp; ROW(F78)) = "", "", INDIRECT("'Task Tracking Sheet'!F" &amp; ROW(F78))), "")</f>
        <v/>
      </c>
      <c r="E80" s="22" t="str">
        <f t="shared" ca="1" si="2"/>
        <v/>
      </c>
    </row>
    <row r="81" spans="2:5" x14ac:dyDescent="0.5">
      <c r="B81" s="22" t="str" cm="1">
        <f t="array" aca="1" ref="B81" ca="1">IFERROR(IF(INDIRECT("'Task Tracking Sheet'!B" &amp; ROW(A79)) = "", "", INDIRECT("'Task Tracking Sheet'!B" &amp; ROW(A79))), "")</f>
        <v/>
      </c>
      <c r="C81" s="44" t="str" cm="1">
        <f t="array" aca="1" ref="C81" ca="1">IFERROR(IF(INDIRECT("'Task Tracking Sheet'!E" &amp; ROW(E79)) = "", "", INDIRECT("'Task Tracking Sheet'!E" &amp; ROW(E79))), "")</f>
        <v/>
      </c>
      <c r="D81" s="44" t="str" cm="1">
        <f t="array" aca="1" ref="D81" ca="1">IFERROR(IF(INDIRECT("'Task Tracking Sheet'!F" &amp; ROW(F79)) = "", "", INDIRECT("'Task Tracking Sheet'!F" &amp; ROW(F79))), "")</f>
        <v/>
      </c>
      <c r="E81" s="22" t="str">
        <f t="shared" ca="1" si="2"/>
        <v/>
      </c>
    </row>
    <row r="82" spans="2:5" x14ac:dyDescent="0.5">
      <c r="B82" s="22" t="str" cm="1">
        <f t="array" aca="1" ref="B82" ca="1">IFERROR(IF(INDIRECT("'Task Tracking Sheet'!B" &amp; ROW(A80)) = "", "", INDIRECT("'Task Tracking Sheet'!B" &amp; ROW(A80))), "")</f>
        <v/>
      </c>
      <c r="C82" s="44" t="str" cm="1">
        <f t="array" aca="1" ref="C82" ca="1">IFERROR(IF(INDIRECT("'Task Tracking Sheet'!E" &amp; ROW(E80)) = "", "", INDIRECT("'Task Tracking Sheet'!E" &amp; ROW(E80))), "")</f>
        <v/>
      </c>
      <c r="D82" s="44" t="str" cm="1">
        <f t="array" aca="1" ref="D82" ca="1">IFERROR(IF(INDIRECT("'Task Tracking Sheet'!F" &amp; ROW(F80)) = "", "", INDIRECT("'Task Tracking Sheet'!F" &amp; ROW(F80))), "")</f>
        <v/>
      </c>
      <c r="E82" s="22" t="str">
        <f t="shared" ca="1" si="2"/>
        <v/>
      </c>
    </row>
    <row r="83" spans="2:5" x14ac:dyDescent="0.5">
      <c r="B83" s="22" t="str" cm="1">
        <f t="array" aca="1" ref="B83" ca="1">IFERROR(IF(INDIRECT("'Task Tracking Sheet'!B" &amp; ROW(A81)) = "", "", INDIRECT("'Task Tracking Sheet'!B" &amp; ROW(A81))), "")</f>
        <v/>
      </c>
      <c r="C83" s="44" t="str" cm="1">
        <f t="array" aca="1" ref="C83" ca="1">IFERROR(IF(INDIRECT("'Task Tracking Sheet'!E" &amp; ROW(E81)) = "", "", INDIRECT("'Task Tracking Sheet'!E" &amp; ROW(E81))), "")</f>
        <v/>
      </c>
      <c r="D83" s="44" t="str" cm="1">
        <f t="array" aca="1" ref="D83" ca="1">IFERROR(IF(INDIRECT("'Task Tracking Sheet'!F" &amp; ROW(F81)) = "", "", INDIRECT("'Task Tracking Sheet'!F" &amp; ROW(F81))), "")</f>
        <v/>
      </c>
      <c r="E83" s="22" t="str">
        <f t="shared" ca="1" si="2"/>
        <v/>
      </c>
    </row>
    <row r="84" spans="2:5" x14ac:dyDescent="0.5">
      <c r="B84" s="22" t="str" cm="1">
        <f t="array" aca="1" ref="B84" ca="1">IFERROR(IF(INDIRECT("'Task Tracking Sheet'!B" &amp; ROW(A82)) = "", "", INDIRECT("'Task Tracking Sheet'!B" &amp; ROW(A82))), "")</f>
        <v/>
      </c>
      <c r="C84" s="44" t="str" cm="1">
        <f t="array" aca="1" ref="C84" ca="1">IFERROR(IF(INDIRECT("'Task Tracking Sheet'!E" &amp; ROW(E82)) = "", "", INDIRECT("'Task Tracking Sheet'!E" &amp; ROW(E82))), "")</f>
        <v/>
      </c>
      <c r="D84" s="44" t="str" cm="1">
        <f t="array" aca="1" ref="D84" ca="1">IFERROR(IF(INDIRECT("'Task Tracking Sheet'!F" &amp; ROW(F82)) = "", "", INDIRECT("'Task Tracking Sheet'!F" &amp; ROW(F82))), "")</f>
        <v/>
      </c>
      <c r="E84" s="22" t="str">
        <f t="shared" ca="1" si="2"/>
        <v/>
      </c>
    </row>
    <row r="85" spans="2:5" x14ac:dyDescent="0.5">
      <c r="B85" s="22" t="str" cm="1">
        <f t="array" aca="1" ref="B85" ca="1">IFERROR(IF(INDIRECT("'Task Tracking Sheet'!B" &amp; ROW(A83)) = "", "", INDIRECT("'Task Tracking Sheet'!B" &amp; ROW(A83))), "")</f>
        <v/>
      </c>
      <c r="C85" s="44" t="str" cm="1">
        <f t="array" aca="1" ref="C85" ca="1">IFERROR(IF(INDIRECT("'Task Tracking Sheet'!E" &amp; ROW(E83)) = "", "", INDIRECT("'Task Tracking Sheet'!E" &amp; ROW(E83))), "")</f>
        <v/>
      </c>
      <c r="D85" s="44" t="str" cm="1">
        <f t="array" aca="1" ref="D85" ca="1">IFERROR(IF(INDIRECT("'Task Tracking Sheet'!F" &amp; ROW(F83)) = "", "", INDIRECT("'Task Tracking Sheet'!F" &amp; ROW(F83))), "")</f>
        <v/>
      </c>
      <c r="E85" s="22" t="str">
        <f t="shared" ca="1" si="2"/>
        <v/>
      </c>
    </row>
    <row r="86" spans="2:5" x14ac:dyDescent="0.5">
      <c r="B86" s="22" t="str" cm="1">
        <f t="array" aca="1" ref="B86" ca="1">IFERROR(IF(INDIRECT("'Task Tracking Sheet'!B" &amp; ROW(A84)) = "", "", INDIRECT("'Task Tracking Sheet'!B" &amp; ROW(A84))), "")</f>
        <v/>
      </c>
      <c r="C86" s="44" t="str" cm="1">
        <f t="array" aca="1" ref="C86" ca="1">IFERROR(IF(INDIRECT("'Task Tracking Sheet'!E" &amp; ROW(E84)) = "", "", INDIRECT("'Task Tracking Sheet'!E" &amp; ROW(E84))), "")</f>
        <v/>
      </c>
      <c r="D86" s="44" t="str" cm="1">
        <f t="array" aca="1" ref="D86" ca="1">IFERROR(IF(INDIRECT("'Task Tracking Sheet'!F" &amp; ROW(F84)) = "", "", INDIRECT("'Task Tracking Sheet'!F" &amp; ROW(F84))), "")</f>
        <v/>
      </c>
      <c r="E86" s="22" t="str">
        <f t="shared" ca="1" si="2"/>
        <v/>
      </c>
    </row>
    <row r="87" spans="2:5" x14ac:dyDescent="0.5">
      <c r="B87" s="22" t="str" cm="1">
        <f t="array" aca="1" ref="B87" ca="1">IFERROR(IF(INDIRECT("'Task Tracking Sheet'!B" &amp; ROW(A85)) = "", "", INDIRECT("'Task Tracking Sheet'!B" &amp; ROW(A85))), "")</f>
        <v/>
      </c>
      <c r="C87" s="44" t="str" cm="1">
        <f t="array" aca="1" ref="C87" ca="1">IFERROR(IF(INDIRECT("'Task Tracking Sheet'!E" &amp; ROW(E85)) = "", "", INDIRECT("'Task Tracking Sheet'!E" &amp; ROW(E85))), "")</f>
        <v/>
      </c>
      <c r="D87" s="44" t="str" cm="1">
        <f t="array" aca="1" ref="D87" ca="1">IFERROR(IF(INDIRECT("'Task Tracking Sheet'!F" &amp; ROW(F85)) = "", "", INDIRECT("'Task Tracking Sheet'!F" &amp; ROW(F85))), "")</f>
        <v/>
      </c>
      <c r="E87" s="22" t="str">
        <f t="shared" ca="1" si="2"/>
        <v/>
      </c>
    </row>
    <row r="88" spans="2:5" x14ac:dyDescent="0.5">
      <c r="B88" s="22" t="str" cm="1">
        <f t="array" aca="1" ref="B88" ca="1">IFERROR(IF(INDIRECT("'Task Tracking Sheet'!B" &amp; ROW(A86)) = "", "", INDIRECT("'Task Tracking Sheet'!B" &amp; ROW(A86))), "")</f>
        <v/>
      </c>
      <c r="C88" s="44" t="str" cm="1">
        <f t="array" aca="1" ref="C88" ca="1">IFERROR(IF(INDIRECT("'Task Tracking Sheet'!E" &amp; ROW(E86)) = "", "", INDIRECT("'Task Tracking Sheet'!E" &amp; ROW(E86))), "")</f>
        <v/>
      </c>
      <c r="D88" s="44" t="str" cm="1">
        <f t="array" aca="1" ref="D88" ca="1">IFERROR(IF(INDIRECT("'Task Tracking Sheet'!F" &amp; ROW(F86)) = "", "", INDIRECT("'Task Tracking Sheet'!F" &amp; ROW(F86))), "")</f>
        <v/>
      </c>
      <c r="E88" s="22" t="str">
        <f t="shared" ca="1" si="2"/>
        <v/>
      </c>
    </row>
    <row r="89" spans="2:5" x14ac:dyDescent="0.5">
      <c r="B89" s="22" t="str" cm="1">
        <f t="array" aca="1" ref="B89" ca="1">IFERROR(IF(INDIRECT("'Task Tracking Sheet'!B" &amp; ROW(A87)) = "", "", INDIRECT("'Task Tracking Sheet'!B" &amp; ROW(A87))), "")</f>
        <v/>
      </c>
      <c r="C89" s="44" t="str" cm="1">
        <f t="array" aca="1" ref="C89" ca="1">IFERROR(IF(INDIRECT("'Task Tracking Sheet'!E" &amp; ROW(E87)) = "", "", INDIRECT("'Task Tracking Sheet'!E" &amp; ROW(E87))), "")</f>
        <v/>
      </c>
      <c r="D89" s="44" t="str" cm="1">
        <f t="array" aca="1" ref="D89" ca="1">IFERROR(IF(INDIRECT("'Task Tracking Sheet'!F" &amp; ROW(F87)) = "", "", INDIRECT("'Task Tracking Sheet'!F" &amp; ROW(F87))), "")</f>
        <v/>
      </c>
      <c r="E89" s="22" t="str">
        <f t="shared" ca="1" si="2"/>
        <v/>
      </c>
    </row>
    <row r="90" spans="2:5" x14ac:dyDescent="0.5">
      <c r="B90" s="22" t="str" cm="1">
        <f t="array" aca="1" ref="B90" ca="1">IFERROR(IF(INDIRECT("'Task Tracking Sheet'!B" &amp; ROW(A88)) = "", "", INDIRECT("'Task Tracking Sheet'!B" &amp; ROW(A88))), "")</f>
        <v/>
      </c>
      <c r="C90" s="44" t="str" cm="1">
        <f t="array" aca="1" ref="C90" ca="1">IFERROR(IF(INDIRECT("'Task Tracking Sheet'!E" &amp; ROW(E88)) = "", "", INDIRECT("'Task Tracking Sheet'!E" &amp; ROW(E88))), "")</f>
        <v/>
      </c>
      <c r="D90" s="44" t="str" cm="1">
        <f t="array" aca="1" ref="D90" ca="1">IFERROR(IF(INDIRECT("'Task Tracking Sheet'!F" &amp; ROW(F88)) = "", "", INDIRECT("'Task Tracking Sheet'!F" &amp; ROW(F88))), "")</f>
        <v/>
      </c>
      <c r="E90" s="22" t="str">
        <f t="shared" ca="1" si="2"/>
        <v/>
      </c>
    </row>
    <row r="91" spans="2:5" x14ac:dyDescent="0.5">
      <c r="B91" s="22" t="str" cm="1">
        <f t="array" aca="1" ref="B91" ca="1">IFERROR(IF(INDIRECT("'Task Tracking Sheet'!B" &amp; ROW(A89)) = "", "", INDIRECT("'Task Tracking Sheet'!B" &amp; ROW(A89))), "")</f>
        <v/>
      </c>
      <c r="C91" s="44" t="str" cm="1">
        <f t="array" aca="1" ref="C91" ca="1">IFERROR(IF(INDIRECT("'Task Tracking Sheet'!E" &amp; ROW(E89)) = "", "", INDIRECT("'Task Tracking Sheet'!E" &amp; ROW(E89))), "")</f>
        <v/>
      </c>
      <c r="D91" s="44" t="str" cm="1">
        <f t="array" aca="1" ref="D91" ca="1">IFERROR(IF(INDIRECT("'Task Tracking Sheet'!F" &amp; ROW(F89)) = "", "", INDIRECT("'Task Tracking Sheet'!F" &amp; ROW(F89))), "")</f>
        <v/>
      </c>
      <c r="E91" s="22" t="str">
        <f t="shared" ca="1" si="2"/>
        <v/>
      </c>
    </row>
    <row r="92" spans="2:5" x14ac:dyDescent="0.5">
      <c r="B92" s="22" t="str" cm="1">
        <f t="array" aca="1" ref="B92" ca="1">IFERROR(IF(INDIRECT("'Task Tracking Sheet'!B" &amp; ROW(A90)) = "", "", INDIRECT("'Task Tracking Sheet'!B" &amp; ROW(A90))), "")</f>
        <v/>
      </c>
      <c r="C92" s="44" t="str" cm="1">
        <f t="array" aca="1" ref="C92" ca="1">IFERROR(IF(INDIRECT("'Task Tracking Sheet'!E" &amp; ROW(E90)) = "", "", INDIRECT("'Task Tracking Sheet'!E" &amp; ROW(E90))), "")</f>
        <v/>
      </c>
      <c r="D92" s="44" t="str" cm="1">
        <f t="array" aca="1" ref="D92" ca="1">IFERROR(IF(INDIRECT("'Task Tracking Sheet'!F" &amp; ROW(F90)) = "", "", INDIRECT("'Task Tracking Sheet'!F" &amp; ROW(F90))), "")</f>
        <v/>
      </c>
      <c r="E92" s="22" t="str">
        <f t="shared" ca="1" si="2"/>
        <v/>
      </c>
    </row>
    <row r="93" spans="2:5" x14ac:dyDescent="0.5">
      <c r="B93" s="22" t="str" cm="1">
        <f t="array" aca="1" ref="B93" ca="1">IFERROR(IF(INDIRECT("'Task Tracking Sheet'!B" &amp; ROW(A91)) = "", "", INDIRECT("'Task Tracking Sheet'!B" &amp; ROW(A91))), "")</f>
        <v/>
      </c>
      <c r="C93" s="44" t="str" cm="1">
        <f t="array" aca="1" ref="C93" ca="1">IFERROR(IF(INDIRECT("'Task Tracking Sheet'!E" &amp; ROW(E91)) = "", "", INDIRECT("'Task Tracking Sheet'!E" &amp; ROW(E91))), "")</f>
        <v/>
      </c>
      <c r="D93" s="44" t="str" cm="1">
        <f t="array" aca="1" ref="D93" ca="1">IFERROR(IF(INDIRECT("'Task Tracking Sheet'!F" &amp; ROW(F91)) = "", "", INDIRECT("'Task Tracking Sheet'!F" &amp; ROW(F91))), "")</f>
        <v/>
      </c>
      <c r="E93" s="22" t="str">
        <f t="shared" ca="1" si="2"/>
        <v/>
      </c>
    </row>
    <row r="94" spans="2:5" x14ac:dyDescent="0.5">
      <c r="B94" s="22" t="str" cm="1">
        <f t="array" aca="1" ref="B94" ca="1">IFERROR(IF(INDIRECT("'Task Tracking Sheet'!B" &amp; ROW(A92)) = "", "", INDIRECT("'Task Tracking Sheet'!B" &amp; ROW(A92))), "")</f>
        <v/>
      </c>
      <c r="C94" s="44" t="str" cm="1">
        <f t="array" aca="1" ref="C94" ca="1">IFERROR(IF(INDIRECT("'Task Tracking Sheet'!E" &amp; ROW(E92)) = "", "", INDIRECT("'Task Tracking Sheet'!E" &amp; ROW(E92))), "")</f>
        <v/>
      </c>
      <c r="D94" s="44" t="str" cm="1">
        <f t="array" aca="1" ref="D94" ca="1">IFERROR(IF(INDIRECT("'Task Tracking Sheet'!F" &amp; ROW(F92)) = "", "", INDIRECT("'Task Tracking Sheet'!F" &amp; ROW(F92))), "")</f>
        <v/>
      </c>
      <c r="E94" s="22" t="str">
        <f t="shared" ca="1" si="2"/>
        <v/>
      </c>
    </row>
    <row r="95" spans="2:5" x14ac:dyDescent="0.5">
      <c r="B95" s="22" t="str" cm="1">
        <f t="array" aca="1" ref="B95" ca="1">IFERROR(IF(INDIRECT("'Task Tracking Sheet'!B" &amp; ROW(A93)) = "", "", INDIRECT("'Task Tracking Sheet'!B" &amp; ROW(A93))), "")</f>
        <v/>
      </c>
      <c r="C95" s="44" t="str" cm="1">
        <f t="array" aca="1" ref="C95" ca="1">IFERROR(IF(INDIRECT("'Task Tracking Sheet'!E" &amp; ROW(E93)) = "", "", INDIRECT("'Task Tracking Sheet'!E" &amp; ROW(E93))), "")</f>
        <v/>
      </c>
      <c r="D95" s="44" t="str" cm="1">
        <f t="array" aca="1" ref="D95" ca="1">IFERROR(IF(INDIRECT("'Task Tracking Sheet'!F" &amp; ROW(F93)) = "", "", INDIRECT("'Task Tracking Sheet'!F" &amp; ROW(F93))), "")</f>
        <v/>
      </c>
      <c r="E95" s="22" t="str">
        <f t="shared" ca="1" si="2"/>
        <v/>
      </c>
    </row>
    <row r="96" spans="2:5" x14ac:dyDescent="0.5">
      <c r="B96" s="22" t="str" cm="1">
        <f t="array" aca="1" ref="B96" ca="1">IFERROR(IF(INDIRECT("'Task Tracking Sheet'!B" &amp; ROW(A94)) = "", "", INDIRECT("'Task Tracking Sheet'!B" &amp; ROW(A94))), "")</f>
        <v/>
      </c>
      <c r="C96" s="44" t="str" cm="1">
        <f t="array" aca="1" ref="C96" ca="1">IFERROR(IF(INDIRECT("'Task Tracking Sheet'!E" &amp; ROW(E94)) = "", "", INDIRECT("'Task Tracking Sheet'!E" &amp; ROW(E94))), "")</f>
        <v/>
      </c>
      <c r="D96" s="44" t="str" cm="1">
        <f t="array" aca="1" ref="D96" ca="1">IFERROR(IF(INDIRECT("'Task Tracking Sheet'!F" &amp; ROW(F94)) = "", "", INDIRECT("'Task Tracking Sheet'!F" &amp; ROW(F94))), "")</f>
        <v/>
      </c>
      <c r="E96" s="22" t="str">
        <f t="shared" ca="1" si="2"/>
        <v/>
      </c>
    </row>
    <row r="97" spans="2:5" x14ac:dyDescent="0.5">
      <c r="B97" s="22" t="str" cm="1">
        <f t="array" aca="1" ref="B97" ca="1">IFERROR(IF(INDIRECT("'Task Tracking Sheet'!B" &amp; ROW(A95)) = "", "", INDIRECT("'Task Tracking Sheet'!B" &amp; ROW(A95))), "")</f>
        <v/>
      </c>
      <c r="C97" s="44" t="str" cm="1">
        <f t="array" aca="1" ref="C97" ca="1">IFERROR(IF(INDIRECT("'Task Tracking Sheet'!E" &amp; ROW(E95)) = "", "", INDIRECT("'Task Tracking Sheet'!E" &amp; ROW(E95))), "")</f>
        <v/>
      </c>
      <c r="D97" s="44" t="str" cm="1">
        <f t="array" aca="1" ref="D97" ca="1">IFERROR(IF(INDIRECT("'Task Tracking Sheet'!F" &amp; ROW(F95)) = "", "", INDIRECT("'Task Tracking Sheet'!F" &amp; ROW(F95))), "")</f>
        <v/>
      </c>
      <c r="E97" s="22" t="str">
        <f t="shared" ca="1" si="2"/>
        <v/>
      </c>
    </row>
    <row r="98" spans="2:5" x14ac:dyDescent="0.5">
      <c r="B98" s="22" t="str" cm="1">
        <f t="array" aca="1" ref="B98" ca="1">IFERROR(IF(INDIRECT("'Task Tracking Sheet'!B" &amp; ROW(A96)) = "", "", INDIRECT("'Task Tracking Sheet'!B" &amp; ROW(A96))), "")</f>
        <v/>
      </c>
      <c r="C98" s="44" t="str" cm="1">
        <f t="array" aca="1" ref="C98" ca="1">IFERROR(IF(INDIRECT("'Task Tracking Sheet'!E" &amp; ROW(E96)) = "", "", INDIRECT("'Task Tracking Sheet'!E" &amp; ROW(E96))), "")</f>
        <v/>
      </c>
      <c r="D98" s="44" t="str" cm="1">
        <f t="array" aca="1" ref="D98" ca="1">IFERROR(IF(INDIRECT("'Task Tracking Sheet'!F" &amp; ROW(F96)) = "", "", INDIRECT("'Task Tracking Sheet'!F" &amp; ROW(F96))), "")</f>
        <v/>
      </c>
      <c r="E98" s="22" t="str">
        <f t="shared" ca="1" si="2"/>
        <v/>
      </c>
    </row>
    <row r="99" spans="2:5" x14ac:dyDescent="0.5">
      <c r="B99" s="22" t="str" cm="1">
        <f t="array" aca="1" ref="B99" ca="1">IFERROR(IF(INDIRECT("'Task Tracking Sheet'!B" &amp; ROW(A97)) = "", "", INDIRECT("'Task Tracking Sheet'!B" &amp; ROW(A97))), "")</f>
        <v/>
      </c>
      <c r="C99" s="44" t="str" cm="1">
        <f t="array" aca="1" ref="C99" ca="1">IFERROR(IF(INDIRECT("'Task Tracking Sheet'!E" &amp; ROW(E97)) = "", "", INDIRECT("'Task Tracking Sheet'!E" &amp; ROW(E97))), "")</f>
        <v/>
      </c>
      <c r="D99" s="44" t="str" cm="1">
        <f t="array" aca="1" ref="D99" ca="1">IFERROR(IF(INDIRECT("'Task Tracking Sheet'!F" &amp; ROW(F97)) = "", "", INDIRECT("'Task Tracking Sheet'!F" &amp; ROW(F97))), "")</f>
        <v/>
      </c>
      <c r="E99" s="22" t="str">
        <f t="shared" ca="1" si="2"/>
        <v/>
      </c>
    </row>
    <row r="100" spans="2:5" x14ac:dyDescent="0.5">
      <c r="B100" s="22" t="str" cm="1">
        <f t="array" aca="1" ref="B100" ca="1">IFERROR(IF(INDIRECT("'Task Tracking Sheet'!B" &amp; ROW(A98)) = "", "", INDIRECT("'Task Tracking Sheet'!B" &amp; ROW(A98))), "")</f>
        <v/>
      </c>
      <c r="C100" s="44" t="str" cm="1">
        <f t="array" aca="1" ref="C100" ca="1">IFERROR(IF(INDIRECT("'Task Tracking Sheet'!E" &amp; ROW(E98)) = "", "", INDIRECT("'Task Tracking Sheet'!E" &amp; ROW(E98))), "")</f>
        <v/>
      </c>
      <c r="D100" s="44" t="str" cm="1">
        <f t="array" aca="1" ref="D100" ca="1">IFERROR(IF(INDIRECT("'Task Tracking Sheet'!F" &amp; ROW(F98)) = "", "", INDIRECT("'Task Tracking Sheet'!F" &amp; ROW(F98))), "")</f>
        <v/>
      </c>
      <c r="E100" s="22" t="str">
        <f t="shared" ca="1" si="2"/>
        <v/>
      </c>
    </row>
  </sheetData>
  <mergeCells count="1">
    <mergeCell ref="A1:Z2"/>
  </mergeCells>
  <conditionalFormatting sqref="G7:Z17 G19:Z19 I18:Z18 G21:Z100 I20:Z20 G18 G20">
    <cfRule type="expression" dxfId="32" priority="1">
      <formula>AND(G$6 &gt;= $C7, G$6 &lt;= $D7, $C7&lt;&gt;"", $D7&lt;&gt;"")</formula>
    </cfRule>
  </conditionalFormatting>
  <conditionalFormatting sqref="H20">
    <cfRule type="expression" dxfId="31" priority="3">
      <formula>AND(H$6 &gt;= $C18, H$6 &lt;= $D18, $C18&lt;&gt;"", $D18&lt;&gt;"")</formula>
    </cfRule>
  </conditionalFormatting>
  <pageMargins left="0.7" right="0.7" top="0.75" bottom="0.75" header="0.3" footer="0.3"/>
  <pageSetup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11C34-A9D5-4908-8C97-4EED0BE163BF}">
  <sheetPr codeName="Sheet5"/>
  <dimension ref="A1:R17"/>
  <sheetViews>
    <sheetView zoomScale="89" workbookViewId="0">
      <selection activeCell="A26" sqref="A26"/>
    </sheetView>
  </sheetViews>
  <sheetFormatPr defaultColWidth="8.796875" defaultRowHeight="14.25" x14ac:dyDescent="0.45"/>
  <cols>
    <col min="1" max="1" width="54.1328125" style="2" bestFit="1" customWidth="1"/>
    <col min="2" max="2" width="17.33203125" style="2" bestFit="1" customWidth="1"/>
    <col min="3" max="3" width="7.46484375" style="2" bestFit="1" customWidth="1"/>
    <col min="4" max="4" width="4.796875" style="2" bestFit="1" customWidth="1"/>
    <col min="5" max="5" width="11.6640625" style="2" bestFit="1" customWidth="1"/>
    <col min="6" max="6" width="10.6640625" style="2" bestFit="1" customWidth="1"/>
    <col min="7" max="7" width="14.796875" style="2" bestFit="1" customWidth="1"/>
    <col min="8" max="8" width="10.6640625" style="2" bestFit="1" customWidth="1"/>
    <col min="9" max="16" width="8.796875" style="2"/>
    <col min="17" max="17" width="14.33203125" style="2" bestFit="1" customWidth="1"/>
    <col min="18" max="18" width="33.33203125" style="2" bestFit="1" customWidth="1"/>
    <col min="19" max="19" width="9" style="2" bestFit="1" customWidth="1"/>
    <col min="20" max="21" width="6.33203125" style="2" bestFit="1" customWidth="1"/>
    <col min="22" max="22" width="6.6640625" style="2" bestFit="1" customWidth="1"/>
    <col min="23" max="23" width="10.6640625" style="2" bestFit="1" customWidth="1"/>
    <col min="24" max="24" width="12.1328125" style="2" bestFit="1" customWidth="1"/>
    <col min="25" max="25" width="15.46484375" style="2" bestFit="1" customWidth="1"/>
    <col min="26" max="26" width="8.46484375" style="2" bestFit="1" customWidth="1"/>
    <col min="27" max="27" width="11.46484375" style="2" bestFit="1" customWidth="1"/>
    <col min="28" max="28" width="10.6640625" style="2" bestFit="1" customWidth="1"/>
    <col min="29" max="16384" width="8.796875" style="2"/>
  </cols>
  <sheetData>
    <row r="1" spans="1:18" ht="63" x14ac:dyDescent="0.45">
      <c r="A1" s="71" t="s">
        <v>167</v>
      </c>
      <c r="B1" s="71"/>
      <c r="C1" s="71"/>
      <c r="D1" s="71"/>
      <c r="E1" s="71"/>
      <c r="F1" s="71"/>
      <c r="G1" s="71"/>
      <c r="H1" s="71"/>
      <c r="I1" s="71"/>
      <c r="J1" s="71"/>
      <c r="K1" s="71"/>
      <c r="L1" s="71"/>
      <c r="M1" s="71"/>
    </row>
    <row r="3" spans="1:18" x14ac:dyDescent="0.45">
      <c r="A3" s="56" t="s">
        <v>168</v>
      </c>
      <c r="B3" s="56" t="s">
        <v>169</v>
      </c>
      <c r="C3" s="56"/>
      <c r="D3" s="56"/>
      <c r="E3" s="56"/>
      <c r="Q3" s="56" t="s">
        <v>170</v>
      </c>
      <c r="R3" s="56" t="s">
        <v>171</v>
      </c>
    </row>
    <row r="4" spans="1:18" x14ac:dyDescent="0.45">
      <c r="A4" s="56" t="s">
        <v>170</v>
      </c>
      <c r="B4" s="56" t="s">
        <v>14</v>
      </c>
      <c r="C4" s="56" t="s">
        <v>22</v>
      </c>
      <c r="D4" s="56" t="s">
        <v>18</v>
      </c>
      <c r="E4" s="56" t="s">
        <v>172</v>
      </c>
      <c r="Q4" s="49" t="s">
        <v>16</v>
      </c>
      <c r="R4" s="2">
        <v>3</v>
      </c>
    </row>
    <row r="5" spans="1:18" x14ac:dyDescent="0.45">
      <c r="A5" s="49" t="s">
        <v>13</v>
      </c>
      <c r="B5" s="2">
        <v>3</v>
      </c>
      <c r="E5" s="2">
        <v>3</v>
      </c>
      <c r="Q5" s="49" t="s">
        <v>24</v>
      </c>
      <c r="R5" s="2">
        <v>1</v>
      </c>
    </row>
    <row r="6" spans="1:18" x14ac:dyDescent="0.45">
      <c r="A6" s="50" t="s">
        <v>12</v>
      </c>
      <c r="B6" s="2">
        <v>3</v>
      </c>
      <c r="E6" s="2">
        <v>3</v>
      </c>
      <c r="Q6" s="49" t="s">
        <v>173</v>
      </c>
    </row>
    <row r="7" spans="1:18" x14ac:dyDescent="0.45">
      <c r="A7" s="49" t="s">
        <v>17</v>
      </c>
      <c r="D7" s="2">
        <v>7</v>
      </c>
      <c r="E7" s="2">
        <v>7</v>
      </c>
      <c r="Q7" s="57" t="s">
        <v>172</v>
      </c>
      <c r="R7" s="56">
        <v>4</v>
      </c>
    </row>
    <row r="8" spans="1:18" x14ac:dyDescent="0.45">
      <c r="A8" s="50" t="s">
        <v>24</v>
      </c>
      <c r="D8" s="2">
        <v>4</v>
      </c>
      <c r="E8" s="2">
        <v>4</v>
      </c>
      <c r="Q8"/>
      <c r="R8"/>
    </row>
    <row r="9" spans="1:18" x14ac:dyDescent="0.45">
      <c r="A9" s="50" t="s">
        <v>16</v>
      </c>
      <c r="D9" s="2">
        <v>3</v>
      </c>
      <c r="E9" s="2">
        <v>3</v>
      </c>
      <c r="Q9"/>
      <c r="R9"/>
    </row>
    <row r="10" spans="1:18" x14ac:dyDescent="0.45">
      <c r="A10" s="49" t="s">
        <v>21</v>
      </c>
      <c r="C10" s="2">
        <v>3</v>
      </c>
      <c r="E10" s="2">
        <v>3</v>
      </c>
    </row>
    <row r="11" spans="1:18" x14ac:dyDescent="0.45">
      <c r="A11" s="50" t="s">
        <v>20</v>
      </c>
      <c r="C11" s="2">
        <v>3</v>
      </c>
      <c r="E11" s="2">
        <v>3</v>
      </c>
    </row>
    <row r="12" spans="1:18" x14ac:dyDescent="0.45">
      <c r="A12" s="51">
        <v>45609</v>
      </c>
      <c r="C12" s="2">
        <v>3</v>
      </c>
      <c r="E12" s="2">
        <v>3</v>
      </c>
    </row>
    <row r="13" spans="1:18" x14ac:dyDescent="0.45">
      <c r="A13" s="49" t="s">
        <v>26</v>
      </c>
      <c r="B13" s="2">
        <v>2</v>
      </c>
      <c r="E13" s="2">
        <v>2</v>
      </c>
    </row>
    <row r="14" spans="1:18" x14ac:dyDescent="0.45">
      <c r="A14" s="50" t="s">
        <v>25</v>
      </c>
      <c r="B14" s="2">
        <v>2</v>
      </c>
      <c r="E14" s="2">
        <v>2</v>
      </c>
    </row>
    <row r="15" spans="1:18" x14ac:dyDescent="0.45">
      <c r="A15" s="51">
        <v>45537</v>
      </c>
      <c r="B15" s="2">
        <v>2</v>
      </c>
      <c r="E15" s="2">
        <v>2</v>
      </c>
    </row>
    <row r="16" spans="1:18" x14ac:dyDescent="0.45">
      <c r="A16" s="61">
        <v>45545</v>
      </c>
      <c r="B16" s="2">
        <v>2</v>
      </c>
      <c r="E16" s="2">
        <v>2</v>
      </c>
    </row>
    <row r="17" spans="1:5" x14ac:dyDescent="0.45">
      <c r="A17" s="57" t="s">
        <v>172</v>
      </c>
      <c r="B17" s="56">
        <v>5</v>
      </c>
      <c r="C17" s="56">
        <v>3</v>
      </c>
      <c r="D17" s="56">
        <v>7</v>
      </c>
      <c r="E17" s="56">
        <v>15</v>
      </c>
    </row>
  </sheetData>
  <mergeCells count="1">
    <mergeCell ref="A1:M1"/>
  </mergeCells>
  <pageMargins left="0.7" right="0.7" top="0.75" bottom="0.75" header="0.3" footer="0.3"/>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405EFFFDA9C644486FCCB58A8EA5354" ma:contentTypeVersion="10" ma:contentTypeDescription="Create a new document." ma:contentTypeScope="" ma:versionID="e27858f8a0408ae4ffb6ee96cf8a22bd">
  <xsd:schema xmlns:xsd="http://www.w3.org/2001/XMLSchema" xmlns:xs="http://www.w3.org/2001/XMLSchema" xmlns:p="http://schemas.microsoft.com/office/2006/metadata/properties" xmlns:ns2="9ad7a586-468b-408f-bee0-f7f70b225374" targetNamespace="http://schemas.microsoft.com/office/2006/metadata/properties" ma:root="true" ma:fieldsID="ebfca3b52ef0bbda068d087c0f624027" ns2:_="">
    <xsd:import namespace="9ad7a586-468b-408f-bee0-f7f70b22537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d7a586-468b-408f-bee0-f7f70b2253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288FEB-94BA-4977-82AB-68C7BFC6BB0B}">
  <ds:schemaRefs>
    <ds:schemaRef ds:uri="http://purl.org/dc/terms/"/>
    <ds:schemaRef ds:uri="http://purl.org/dc/dcmitype/"/>
    <ds:schemaRef ds:uri="http://schemas.microsoft.com/office/2006/documentManagement/types"/>
    <ds:schemaRef ds:uri="http://schemas.microsoft.com/office/infopath/2007/PartnerControls"/>
    <ds:schemaRef ds:uri="http://purl.org/dc/elements/1.1/"/>
    <ds:schemaRef ds:uri="http://www.w3.org/XML/1998/namespace"/>
    <ds:schemaRef ds:uri="http://schemas.openxmlformats.org/package/2006/metadata/core-properties"/>
    <ds:schemaRef ds:uri="9ad7a586-468b-408f-bee0-f7f70b225374"/>
    <ds:schemaRef ds:uri="http://schemas.microsoft.com/office/2006/metadata/properties"/>
  </ds:schemaRefs>
</ds:datastoreItem>
</file>

<file path=customXml/itemProps2.xml><?xml version="1.0" encoding="utf-8"?>
<ds:datastoreItem xmlns:ds="http://schemas.openxmlformats.org/officeDocument/2006/customXml" ds:itemID="{34D9AE93-A613-477E-ABBD-50BC73D3B24E}">
  <ds:schemaRefs>
    <ds:schemaRef ds:uri="http://schemas.microsoft.com/sharepoint/v3/contenttype/forms"/>
  </ds:schemaRefs>
</ds:datastoreItem>
</file>

<file path=customXml/itemProps3.xml><?xml version="1.0" encoding="utf-8"?>
<ds:datastoreItem xmlns:ds="http://schemas.openxmlformats.org/officeDocument/2006/customXml" ds:itemID="{36A186FE-696F-4472-83A7-0D162CAD43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d7a586-468b-408f-bee0-f7f70b2253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vt:lpstr>
      <vt:lpstr>Task Tracking Sheet</vt:lpstr>
      <vt:lpstr>Quotes List</vt:lpstr>
      <vt:lpstr>Personal Profile</vt:lpstr>
      <vt:lpstr>Calendar Breakdown</vt:lpstr>
      <vt:lpstr>Data Processing</vt:lpstr>
      <vt:lpstr>Gantt Chart</vt:lpstr>
      <vt:lpstr>Graphical Output</vt:lpstr>
    </vt:vector>
  </TitlesOfParts>
  <Manager/>
  <Company>University of Waterloo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Cuthbert Liaw</dc:creator>
  <cp:keywords/>
  <dc:description/>
  <cp:lastModifiedBy>Mara Phillips</cp:lastModifiedBy>
  <cp:revision/>
  <dcterms:created xsi:type="dcterms:W3CDTF">2021-10-26T04:32:41Z</dcterms:created>
  <dcterms:modified xsi:type="dcterms:W3CDTF">2025-02-06T18:18:46Z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0x010100A405EFFFDA9C644486FCCB58A8EA5354</vt:lpwstr>
  </property>
</Properties>
</file>